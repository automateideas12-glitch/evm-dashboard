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ecast chec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<sst xmlns="http://schemas.openxmlformats.org/spreadsheetml/2006/main" count="28" uniqueCount="28">
  <si>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Forecast check: what the dashboard should show vs what really happened</t>
  </si>
  <si>
    <t xml:space="preserve">BAC (budget at completion)</t>
  </si>
  <si>
    <t xml:space="preserve">Actual final cost (real, at completion)</t>
  </si>
  <si>
    <t xml:space="preserve">Baseline completion date</t>
  </si>
  <si>
    <t xml:space="preserve">Actual completion date (EV = 100 %)</t>
  </si>
  <si>
    <t xml:space="preserve">Actual cost overrun</t>
  </si>
  <si>
    <t xml:space="preserve">Sources: BAC and actual final cost from the project's real final report; dates from DSLIB C2014-05.</t>
  </si>
  <si>
    <t xml:space="preserve">Status point</t>
  </si>
  <si>
    <t xml:space="preserve">Status date</t>
  </si>
  <si>
    <t xml:space="preserve">PV</t>
  </si>
  <si>
    <t xml:space="preserve">EV</t>
  </si>
  <si>
    <t xml:space="preserve">AC</t>
  </si>
  <si>
    <t xml:space="preserve">% complete (EV/BAC)</t>
  </si>
  <si>
    <t xml:space="preserve">CPI</t>
  </si>
  <si>
    <t xml:space="preserve">SPI</t>
  </si>
  <si>
    <t xml:space="preserve">EAC A = BAC/CPI</t>
  </si>
  <si>
    <t xml:space="preserve">EAC B = AC+(BAC−EV)/(CPI×SPI)</t>
  </si>
  <si>
    <t xml:space="preserve">EAC C = AC+(BAC−EV)</t>
  </si>
  <si>
    <t xml:space="preserve">Error A vs actual</t>
  </si>
  <si>
    <t xml:space="preserve">Error B vs actual</t>
  </si>
  <si>
    <t xml:space="preserve">Error C vs actual</t>
  </si>
  <si>
    <t xml:space="preserve">Real report 01 May 2012</t>
  </si>
  <si>
    <t xml:space="preserve">50 % test point 21 May 2012 (interpolated)</t>
  </si>
  <si>
    <t xml:space="preserve">Real report 12 Jun 2012</t>
  </si>
  <si>
    <t xml:space="preserve">How to use: upload Belgium_C2014-05_at_50pct_complete.xlsx in the dashboard, pick each forecasting method in the sidebar, and check that CPI, SPI and EAC match row 12. Then compare EAC with the actual final cost (B4): the error columns show how good each method was.</t>
  </si>
  <si>
    <t xml:space="preserve">Error = forecast ÷ actual final cost − 1. Negative = the method under-forecast the final cost.</t>
  </si>
  <si>
    <t xml:space="preserve">Rows 11 and 13 are real reports (the app shows them if you upload the full project and pick that reporting date). Row 12 is the interpolated 50 % point and is test data, not a real observation.</t>
  </si>
  <si>
    <t xml:space="preserve">Blue = input values taken from the data; black = Excel formulas.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</si>
</sst>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€#,##0.00;&quot;(€&quot;#,##0.00\);\-"/>
    <numFmt numFmtId="166" formatCode="dd\-mmm\-yyyy"/>
    <numFmt numFmtId="167" formatCode="0.0%"/>
    <numFmt numFmtId="168" formatCode="0.000"/>
    <numFmt numFmtId="169" formatCode="\+0.0%;\-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3"/>
    <col collapsed="false" customWidth="true" hidden="false" outlineLevel="0" max="6" min="6" style="0" width="12"/>
    <col collapsed="false" customWidth="true" hidden="false" outlineLevel="0" max="8" min="7" style="0" width="8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4" min="12" style="0" width="11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532410.29</v>
      </c>
    </row>
    <row r="4" customFormat="false" ht="15" hidden="false" customHeight="false" outlineLevel="0" collapsed="false">
      <c r="A4" s="2" t="s">
        <v>2</v>
      </c>
      <c r="B4" s="3" t="n">
        <v>591410.53</v>
      </c>
    </row>
    <row r="5" customFormat="false" ht="15" hidden="false" customHeight="false" outlineLevel="0" collapsed="false">
      <c r="A5" s="2" t="s">
        <v>3</v>
      </c>
      <c r="B5" s="4" t="n">
        <v>41136</v>
      </c>
    </row>
    <row r="6" customFormat="false" ht="15" hidden="false" customHeight="false" outlineLevel="0" collapsed="false">
      <c r="A6" s="2" t="s">
        <v>4</v>
      </c>
      <c r="B6" s="4" t="n">
        <v>41200</v>
      </c>
    </row>
    <row r="7" customFormat="false" ht="15" hidden="false" customHeight="false" outlineLevel="0" collapsed="false">
      <c r="A7" s="2" t="s">
        <v>5</v>
      </c>
      <c r="B7" s="5" t="n">
        <f aca="false">B4-B3</f>
        <v>59000.24</v>
      </c>
      <c r="C7" s="6" t="n">
        <f aca="false">B7/B3</f>
        <v>0.110817242093499</v>
      </c>
    </row>
    <row r="8" customFormat="false" ht="15" hidden="false" customHeight="false" outlineLevel="0" collapsed="false">
      <c r="A8" s="7" t="s">
        <v>6</v>
      </c>
    </row>
    <row r="10" customFormat="false" ht="45" hidden="false" customHeight="true" outlineLevel="0" collapsed="false">
      <c r="A10" s="8" t="s">
        <v>7</v>
      </c>
      <c r="B10" s="8" t="s">
        <v>8</v>
      </c>
      <c r="C10" s="8" t="s">
        <v>9</v>
      </c>
      <c r="D10" s="8" t="s">
        <v>10</v>
      </c>
      <c r="E10" s="8" t="s">
        <v>11</v>
      </c>
      <c r="F10" s="8" t="s">
        <v>12</v>
      </c>
      <c r="G10" s="8" t="s">
        <v>13</v>
      </c>
      <c r="H10" s="8" t="s">
        <v>14</v>
      </c>
      <c r="I10" s="8" t="s">
        <v>15</v>
      </c>
      <c r="J10" s="8" t="s">
        <v>16</v>
      </c>
      <c r="K10" s="8" t="s">
        <v>17</v>
      </c>
      <c r="L10" s="8" t="s">
        <v>18</v>
      </c>
      <c r="M10" s="8" t="s">
        <v>19</v>
      </c>
      <c r="N10" s="8" t="s">
        <v>20</v>
      </c>
    </row>
    <row r="11" customFormat="false" ht="15" hidden="false" customHeight="false" outlineLevel="0" collapsed="false">
      <c r="A11" s="2" t="s">
        <v>21</v>
      </c>
      <c r="B11" s="4" t="n">
        <v>41030</v>
      </c>
      <c r="C11" s="3" t="n">
        <v>358049.94</v>
      </c>
      <c r="D11" s="3" t="n">
        <v>197506.89</v>
      </c>
      <c r="E11" s="3" t="n">
        <v>249121.29</v>
      </c>
      <c r="F11" s="6" t="n">
        <f aca="false">D11/$B$3</f>
        <v>0.370967454441949</v>
      </c>
      <c r="G11" s="9" t="n">
        <f aca="false">D11/E11</f>
        <v>0.792814174974768</v>
      </c>
      <c r="H11" s="9" t="n">
        <f aca="false">D11/C11</f>
        <v>0.551618274255262</v>
      </c>
      <c r="I11" s="5" t="n">
        <f aca="false">$B$3/G11</f>
        <v>671544.86739209</v>
      </c>
      <c r="J11" s="5" t="n">
        <f aca="false">E11+($B$3-D11)/(G11*H11)</f>
        <v>1014910.96214674</v>
      </c>
      <c r="K11" s="5" t="n">
        <f aca="false">E11+$B$3-D11</f>
        <v>584024.69</v>
      </c>
      <c r="L11" s="10" t="n">
        <f aca="false">I11/$B$4-1</f>
        <v>0.13549697431341</v>
      </c>
      <c r="M11" s="10" t="n">
        <f aca="false">J11/$B$4-1</f>
        <v>0.716085376678607</v>
      </c>
      <c r="N11" s="10" t="n">
        <f aca="false">K11/$B$4-1</f>
        <v>-0.0124885162257763</v>
      </c>
    </row>
    <row r="12" customFormat="false" ht="15" hidden="false" customHeight="false" outlineLevel="0" collapsed="false">
      <c r="A12" s="2" t="s">
        <v>22</v>
      </c>
      <c r="B12" s="4" t="n">
        <v>41050</v>
      </c>
      <c r="C12" s="3" t="n">
        <v>393063.72</v>
      </c>
      <c r="D12" s="3" t="n">
        <v>266205.14</v>
      </c>
      <c r="E12" s="3" t="n">
        <v>316357.91</v>
      </c>
      <c r="F12" s="6" t="n">
        <f aca="false">D12/$B$3</f>
        <v>0.499999990608747</v>
      </c>
      <c r="G12" s="9" t="n">
        <f aca="false">D12/E12</f>
        <v>0.841468259794737</v>
      </c>
      <c r="H12" s="9" t="n">
        <f aca="false">D12/C12</f>
        <v>0.677256959762148</v>
      </c>
      <c r="I12" s="5" t="n">
        <f aca="false">$B$3/G12</f>
        <v>632715.83188399</v>
      </c>
      <c r="J12" s="5" t="n">
        <f aca="false">E12+($B$3-D12)/(G12*H12)</f>
        <v>783474.441360703</v>
      </c>
      <c r="K12" s="5" t="n">
        <f aca="false">E12+$B$3-D12</f>
        <v>582563.06</v>
      </c>
      <c r="L12" s="10" t="n">
        <f aca="false">I12/$B$4-1</f>
        <v>0.069842012931338</v>
      </c>
      <c r="M12" s="10" t="n">
        <f aca="false">J12/$B$4-1</f>
        <v>0.324755650462806</v>
      </c>
      <c r="N12" s="10" t="n">
        <f aca="false">K12/$B$4-1</f>
        <v>-0.0149599466888087</v>
      </c>
    </row>
    <row r="13" customFormat="false" ht="15" hidden="false" customHeight="false" outlineLevel="0" collapsed="false">
      <c r="A13" s="2" t="s">
        <v>23</v>
      </c>
      <c r="B13" s="4" t="n">
        <v>41072</v>
      </c>
      <c r="C13" s="3" t="n">
        <v>432077.21</v>
      </c>
      <c r="D13" s="3" t="n">
        <v>342750.98</v>
      </c>
      <c r="E13" s="3" t="n">
        <v>391275.14</v>
      </c>
      <c r="F13" s="6" t="n">
        <f aca="false">D13/$B$3</f>
        <v>0.64377226818813</v>
      </c>
      <c r="G13" s="9" t="n">
        <f aca="false">D13/E13</f>
        <v>0.875984556545044</v>
      </c>
      <c r="H13" s="9" t="n">
        <f aca="false">D13/C13</f>
        <v>0.793263268849565</v>
      </c>
      <c r="I13" s="5" t="n">
        <f aca="false">$B$3/G13</f>
        <v>607785.018607943</v>
      </c>
      <c r="J13" s="5" t="n">
        <f aca="false">E13+($B$3-D13)/(G13*H13)</f>
        <v>664210.856438677</v>
      </c>
      <c r="K13" s="5" t="n">
        <f aca="false">E13+$B$3-D13</f>
        <v>580934.45</v>
      </c>
      <c r="L13" s="10" t="n">
        <f aca="false">I13/$B$4-1</f>
        <v>0.0276871779877552</v>
      </c>
      <c r="M13" s="10" t="n">
        <f aca="false">J13/$B$4-1</f>
        <v>0.123096094414614</v>
      </c>
      <c r="N13" s="10" t="n">
        <f aca="false">K13/$B$4-1</f>
        <v>-0.0177137190979673</v>
      </c>
    </row>
    <row r="15" customFormat="false" ht="15" hidden="false" customHeight="false" outlineLevel="0" collapsed="false">
      <c r="A15" s="2" t="s">
        <v>24</v>
      </c>
    </row>
    <row r="16" customFormat="false" ht="15" hidden="false" customHeight="false" outlineLevel="0" collapsed="false">
      <c r="A16" s="2" t="s">
        <v>25</v>
      </c>
    </row>
    <row r="17" customFormat="false" ht="15" hidden="false" customHeight="false" outlineLevel="0" collapsed="false">
      <c r="A17" s="2" t="s">
        <v>26</v>
      </c>
    </row>
    <row r="18" customFormat="false" ht="15" hidden="false" customHeight="false" outlineLevel="0" collapsed="false">
      <c r="A18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2026-10-27T14:55:00Z</dcterms:created>
  <dc:creator>openpyxl</dc:creator>
  <dc:description/>
  <dc:language>en-US</dc:language>
  <cp:lastModifiedBy/>
  <dcterms:modified xsi:type="dcterms:W3CDTF">2026-10-27T14:55:00Z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