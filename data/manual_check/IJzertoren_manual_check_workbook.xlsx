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Work package calculation" sheetId="3" state="visible" r:id="rId5"/>
    <sheet name="Project calculation" sheetId="4" state="visible" r:id="rId6"/>
    <sheet name="Forecast check" sheetId="5" state="visible" r:id="rId7"/>
    <sheet name="Feature tour" sheetId="6" state="visible" r:id="rId8"/>
    <sheet name="Setting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<sst xmlns="http://schemas.openxmlformats.org/spreadsheetml/2006/main" count="170" uniqueCount="114">
  <si>
    <t xml:space="preserve">Manual check case: IJzertoren Memorial Square (real project)</t>
  </si>
  <si>
    <t xml:space="preserve">Real project from the DSLIB database (Ghent University): Batselier, J. &amp; Vanhoucke, M. (2015), International Journal of Project Management 33(3), 697-710. Project C2015-33, Belgium, 2013-14, EUR.</t>
  </si>
  <si>
    <t xml:space="preserve">Baseline 14-Oct-2013 to 20-Dec-2013; 5 month-end progress reports; finished on 28-Feb-2014, about 2 months late and 4.8 % over budget.</t>
  </si>
  <si>
    <t xml:space="preserve">The 12 real activities are grouped into 4 work packages. Budgets, PV and EV are sums of the activity values recorded in ProTrack; % values are rounded to 2 decimals so everything can be checked with a calculator.</t>
  </si>
  <si>
    <t xml:space="preserve">Sheets</t>
  </si>
  <si>
    <t xml:space="preserve">Inputs - the 20 input rows (5 dates x 4 work packages), identical to the upload file C2015-33_ijzertoren_manual_check_work_packages.csv. Blue = typed input.</t>
  </si>
  <si>
    <t xml:space="preserve">Work package calculation - PV, EV, AC, CV, SV, CPI, SPI and status for every work package and date.</t>
  </si>
  <si>
    <t xml:space="preserve">Project calculation - every dashboard metric for every date: CPI, SPI, EAC (A, B, C), ETC, VAC, TCPI, health. Rows 3 and 4 (30-Nov and 31-Dec) are the two benchmark periods worked by hand in the validation report.</t>
  </si>
  <si>
    <t xml:space="preserve">Forecast check - each forecast compared with the real final cost (known because the project is complete).</t>
  </si>
  <si>
    <t xml:space="preserve">Feature tour - which dashboard feature to show at which date, using this data.</t>
  </si>
  <si>
    <t xml:space="preserve">Settings - health thresholds (same defaults as the dashboard sidebar) and an example for method D.</t>
  </si>
  <si>
    <t xml:space="preserve">How to check the app: upload the CSV (or press 'Manual check case' on the dashboard home screen), pick a reporting date in the sidebar, and compare each figure with the same row here. All cells in black are formulas - click any cell to see how it is calculated.</t>
  </si>
  <si>
    <t xml:space="preserve">Period</t>
  </si>
  <si>
    <t xml:space="preserve">Reporting date</t>
  </si>
  <si>
    <t xml:space="preserve">WP ID</t>
  </si>
  <si>
    <t xml:space="preserve">Work package</t>
  </si>
  <si>
    <t xml:space="preserve">Budget</t>
  </si>
  <si>
    <t xml:space="preserve">Planned progress %</t>
  </si>
  <si>
    <t xml:space="preserve">Actual progress %</t>
  </si>
  <si>
    <t xml:space="preserve">AC cumulative</t>
  </si>
  <si>
    <t xml:space="preserve">WP1</t>
  </si>
  <si>
    <t xml:space="preserve">Demolition and sewerage</t>
  </si>
  <si>
    <t xml:space="preserve">WP2</t>
  </si>
  <si>
    <t xml:space="preserve">Earthworks and foundations</t>
  </si>
  <si>
    <t xml:space="preserve">WP3</t>
  </si>
  <si>
    <t xml:space="preserve">Kerbs, paving and concrete</t>
  </si>
  <si>
    <t xml:space="preserve">WP4</t>
  </si>
  <si>
    <t xml:space="preserve">Finishing: street furniture and signage</t>
  </si>
  <si>
    <t xml:space="preserve">Status date</t>
  </si>
  <si>
    <t xml:space="preserve">Planned %</t>
  </si>
  <si>
    <t xml:space="preserve">Actual %</t>
  </si>
  <si>
    <t xml:space="preserve">PV</t>
  </si>
  <si>
    <t xml:space="preserve">EV</t>
  </si>
  <si>
    <t xml:space="preserve">AC</t>
  </si>
  <si>
    <t xml:space="preserve">CV</t>
  </si>
  <si>
    <t xml:space="preserve">SV</t>
  </si>
  <si>
    <t xml:space="preserve">CPI</t>
  </si>
  <si>
    <t xml:space="preserve">SPI</t>
  </si>
  <si>
    <t xml:space="preserve">Status</t>
  </si>
  <si>
    <t xml:space="preserve">BAC</t>
  </si>
  <si>
    <t xml:space="preserve">% planned</t>
  </si>
  <si>
    <t xml:space="preserve">% complete</t>
  </si>
  <si>
    <t xml:space="preserve">% spent</t>
  </si>
  <si>
    <t xml:space="preserve">EAC A</t>
  </si>
  <si>
    <t xml:space="preserve">EAC B</t>
  </si>
  <si>
    <t xml:space="preserve">EAC C</t>
  </si>
  <si>
    <t xml:space="preserve">ETC A</t>
  </si>
  <si>
    <t xml:space="preserve">ETC B</t>
  </si>
  <si>
    <t xml:space="preserve">ETC C</t>
  </si>
  <si>
    <t xml:space="preserve">VAC A</t>
  </si>
  <si>
    <t xml:space="preserve">VAC B</t>
  </si>
  <si>
    <t xml:space="preserve">VAC C</t>
  </si>
  <si>
    <t xml:space="preserve">Overrun % A</t>
  </si>
  <si>
    <t xml:space="preserve">TCPI to BAC</t>
  </si>
  <si>
    <t xml:space="preserve">TCPI to EAC A</t>
  </si>
  <si>
    <t xml:space="preserve">TCPI to EAC B</t>
  </si>
  <si>
    <t xml:space="preserve">TCPI to EAC C</t>
  </si>
  <si>
    <t xml:space="preserve">CPI status</t>
  </si>
  <si>
    <t xml:space="preserve">SPI status</t>
  </si>
  <si>
    <t xml:space="preserve">Overrun status (A)</t>
  </si>
  <si>
    <t xml:space="preserve">Overall health (method A)</t>
  </si>
  <si>
    <t xml:space="preserve">Actual final cost</t>
  </si>
  <si>
    <t xml:space="preserve">Error A</t>
  </si>
  <si>
    <t xml:space="preserve">Error B</t>
  </si>
  <si>
    <t xml:space="preserve">Error C</t>
  </si>
  <si>
    <t xml:space="preserve">Error = forecast / actual final cost - 1. Negative = the method under-forecast the final cost. Read row 4 (31-Dec-2013, about 52 % complete) as 'what would we have predicted half way?'</t>
  </si>
  <si>
    <t xml:space="preserve">Feature</t>
  </si>
  <si>
    <t xml:space="preserve">Reporting date to select</t>
  </si>
  <si>
    <t xml:space="preserve">What to show / explain</t>
  </si>
  <si>
    <t xml:space="preserve">Home screen and upload</t>
  </si>
  <si>
    <t xml:space="preserve">-</t>
  </si>
  <si>
    <t xml:space="preserve">Upload the CSV, or press 'Manual check case' on the home screen. The smart reader shows the data type it detected and the column matches.</t>
  </si>
  <si>
    <t xml:space="preserve">Signboard and KPI cards</t>
  </si>
  <si>
    <t xml:space="preserve">31 Oct 2013</t>
  </si>
  <si>
    <t xml:space="preserve">CPI 1.135 (cost favourable) but SPI 0.544 (behind schedule) -&gt; Critical.</t>
  </si>
  <si>
    <t xml:space="preserve">Not started / early start</t>
  </si>
  <si>
    <t xml:space="preserve">31 Oct 2013 and 30 Nov 2013</t>
  </si>
  <si>
    <t xml:space="preserve">31 Oct: WP3 and WP4 'Not started'. 30 Nov: WP4 has progress before any work was planned (PV = 0), so its SPI is undefined -&gt; 'Insufficient data' (never shown as 0).</t>
  </si>
  <si>
    <t xml:space="preserve">Top problem activities</t>
  </si>
  <si>
    <t xml:space="preserve">30 Nov 2013</t>
  </si>
  <si>
    <t xml:space="preserve">WP2 Earthworks and foundations: AC far above EV (CPI about 0.37).</t>
  </si>
  <si>
    <t xml:space="preserve">CPI and SPI trend (combined chart)</t>
  </si>
  <si>
    <t xml:space="preserve">28 Feb 2014</t>
  </si>
  <si>
    <t xml:space="preserve">CPI falls from 1.14 to 0.71 and recovers to 0.95; SPI recovers to 1.00 at completion although the project was 2 months late (SPI limitation).</t>
  </si>
  <si>
    <t xml:space="preserve">S-curve</t>
  </si>
  <si>
    <t xml:space="preserve">any</t>
  </si>
  <si>
    <t xml:space="preserve">PV reaches BAC on 20 Dec 2013 (baseline finish); EV and AC continue to 28 Feb 2014.</t>
  </si>
  <si>
    <t xml:space="preserve">Forecasts A, B, C</t>
  </si>
  <si>
    <t xml:space="preserve">31 Dec 2013</t>
  </si>
  <si>
    <t xml:space="preserve">Half way (52 % complete): compare EAC A, B, C with the real final cost EUR 224,789.67 (sheet 'Forecast check').</t>
  </si>
  <si>
    <t xml:space="preserve">Method D (independent ETC)</t>
  </si>
  <si>
    <t xml:space="preserve">Forecasts tab: enter an ETC; the EAC equals AC + ETC (Settings B8).</t>
  </si>
  <si>
    <t xml:space="preserve">TCPI</t>
  </si>
  <si>
    <t xml:space="preserve">31 Dec 2013 and 28 Feb 2014</t>
  </si>
  <si>
    <t xml:space="preserve">31 Dec: efficiency needed to finish on budget. 28 Feb: EV = BAC, so TCPI does not apply (shown as N/A).</t>
  </si>
  <si>
    <t xml:space="preserve">Health thresholds</t>
  </si>
  <si>
    <t xml:space="preserve">Change 'CPI/SPI critical below' in the sidebar and in Settings B3: both update.</t>
  </si>
  <si>
    <t xml:space="preserve">Commentary and exports</t>
  </si>
  <si>
    <t xml:space="preserve">Commentary tab text; Data tab downloads (CSV, Excel workbook).</t>
  </si>
  <si>
    <t xml:space="preserve">Setting</t>
  </si>
  <si>
    <t xml:space="preserve">Value</t>
  </si>
  <si>
    <t xml:space="preserve">Note</t>
  </si>
  <si>
    <t xml:space="preserve">CPI/SPI warning below</t>
  </si>
  <si>
    <t xml:space="preserve">Dashboard default (sidebar: Health screening thresholds)</t>
  </si>
  <si>
    <t xml:space="preserve">CPI/SPI critical below</t>
  </si>
  <si>
    <t xml:space="preserve">Dashboard default</t>
  </si>
  <si>
    <t xml:space="preserve">Forecast overrun warning above (%)</t>
  </si>
  <si>
    <t xml:space="preserve">Forecast overrun critical above (%)</t>
  </si>
  <si>
    <t xml:space="preserve">Actual final cost (AC at completion, 28-Feb-2014)</t>
  </si>
  <si>
    <t xml:space="preserve">Known only because the project is finished; used in 'Forecast check'</t>
  </si>
  <si>
    <t xml:space="preserve">Method D: independent ETC you want to test (enter a number)</t>
  </si>
  <si>
    <t xml:space="preserve">Example: type a bottom-up estimate of the remaining cost at 31-Dec-2013</t>
  </si>
  <si>
    <t xml:space="preserve">Method D: EAC = AC (31-Dec-2013) + independent ETC</t>
  </si>
  <si>
    <t xml:space="preserve">Compare with the dashboard: Forecasts tab &gt; Independent estimate, date 31 Dec 2013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</si>
</sst>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\€#,##0.00;&quot;-€&quot;#,##0.00;\-"/>
    <numFmt numFmtId="167" formatCode="0.00\%"/>
    <numFmt numFmtId="168" formatCode="General"/>
    <numFmt numFmtId="169" formatCode="0.0000"/>
    <numFmt numFmtId="170" formatCode="0.00"/>
    <numFmt numFmtId="171" formatCode="\+0.0%;\-0.0%;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33"/>
        <bgColor rgb="FF333300"/>
      </patternFill>
    </fill>
    <fill>
      <patternFill patternType="solid">
        <fgColor rgb="FFFFF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23.8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23.8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5"/>
  </cols>
  <sheetData>
    <row r="1" customFormat="false" ht="31.5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customFormat="false" ht="15" hidden="false" customHeight="false" outlineLevel="0" collapsed="false">
      <c r="A2" s="5" t="n">
        <v>1</v>
      </c>
      <c r="B2" s="6" t="n">
        <v>41578</v>
      </c>
      <c r="C2" s="5" t="s">
        <v>20</v>
      </c>
      <c r="D2" s="5" t="s">
        <v>21</v>
      </c>
      <c r="E2" s="7" t="n">
        <v>49231.67</v>
      </c>
      <c r="F2" s="8" t="n">
        <v>100</v>
      </c>
      <c r="G2" s="8" t="n">
        <v>61.54</v>
      </c>
      <c r="H2" s="7" t="n">
        <v>28328.72</v>
      </c>
    </row>
    <row r="3" customFormat="false" ht="15" hidden="false" customHeight="false" outlineLevel="0" collapsed="false">
      <c r="A3" s="5" t="n">
        <v>1</v>
      </c>
      <c r="B3" s="6" t="n">
        <v>41578</v>
      </c>
      <c r="C3" s="5" t="s">
        <v>22</v>
      </c>
      <c r="D3" s="5" t="s">
        <v>23</v>
      </c>
      <c r="E3" s="7" t="n">
        <v>58025.66</v>
      </c>
      <c r="F3" s="8" t="n">
        <v>20.67</v>
      </c>
      <c r="G3" s="8" t="n">
        <v>5.17</v>
      </c>
      <c r="H3" s="7" t="n">
        <v>995.46</v>
      </c>
    </row>
    <row r="4" customFormat="false" ht="15" hidden="false" customHeight="false" outlineLevel="0" collapsed="false">
      <c r="A4" s="5" t="n">
        <v>1</v>
      </c>
      <c r="B4" s="6" t="n">
        <v>41578</v>
      </c>
      <c r="C4" s="5" t="s">
        <v>24</v>
      </c>
      <c r="D4" s="5" t="s">
        <v>25</v>
      </c>
      <c r="E4" s="7" t="n">
        <v>78356.7</v>
      </c>
      <c r="F4" s="8" t="n">
        <v>0</v>
      </c>
      <c r="G4" s="8" t="n">
        <v>0</v>
      </c>
      <c r="H4" s="7" t="n">
        <v>0</v>
      </c>
    </row>
    <row r="5" customFormat="false" ht="15" hidden="false" customHeight="false" outlineLevel="0" collapsed="false">
      <c r="A5" s="5" t="n">
        <v>1</v>
      </c>
      <c r="B5" s="6" t="n">
        <v>41578</v>
      </c>
      <c r="C5" s="5" t="s">
        <v>26</v>
      </c>
      <c r="D5" s="5" t="s">
        <v>27</v>
      </c>
      <c r="E5" s="7" t="n">
        <v>28803.68</v>
      </c>
      <c r="F5" s="8" t="n">
        <v>0</v>
      </c>
      <c r="G5" s="8" t="n">
        <v>0</v>
      </c>
      <c r="H5" s="7" t="n">
        <v>0</v>
      </c>
    </row>
    <row r="6" customFormat="false" ht="15" hidden="false" customHeight="false" outlineLevel="0" collapsed="false">
      <c r="A6" s="5" t="n">
        <v>2</v>
      </c>
      <c r="B6" s="6" t="n">
        <v>41608</v>
      </c>
      <c r="C6" s="5" t="s">
        <v>20</v>
      </c>
      <c r="D6" s="5" t="s">
        <v>21</v>
      </c>
      <c r="E6" s="7" t="n">
        <v>49231.67</v>
      </c>
      <c r="F6" s="8" t="n">
        <v>100</v>
      </c>
      <c r="G6" s="8" t="n">
        <v>92.31</v>
      </c>
      <c r="H6" s="7" t="n">
        <v>38459.62</v>
      </c>
    </row>
    <row r="7" customFormat="false" ht="15" hidden="false" customHeight="false" outlineLevel="0" collapsed="false">
      <c r="A7" s="5" t="n">
        <v>2</v>
      </c>
      <c r="B7" s="6" t="n">
        <v>41608</v>
      </c>
      <c r="C7" s="5" t="s">
        <v>22</v>
      </c>
      <c r="D7" s="5" t="s">
        <v>23</v>
      </c>
      <c r="E7" s="7" t="n">
        <v>58025.66</v>
      </c>
      <c r="F7" s="8" t="n">
        <v>100</v>
      </c>
      <c r="G7" s="8" t="n">
        <v>32.64</v>
      </c>
      <c r="H7" s="7" t="n">
        <v>50759.94</v>
      </c>
    </row>
    <row r="8" customFormat="false" ht="15" hidden="false" customHeight="false" outlineLevel="0" collapsed="false">
      <c r="A8" s="5" t="n">
        <v>2</v>
      </c>
      <c r="B8" s="6" t="n">
        <v>41608</v>
      </c>
      <c r="C8" s="5" t="s">
        <v>24</v>
      </c>
      <c r="D8" s="5" t="s">
        <v>25</v>
      </c>
      <c r="E8" s="7" t="n">
        <v>78356.7</v>
      </c>
      <c r="F8" s="8" t="n">
        <v>5.75</v>
      </c>
      <c r="G8" s="8" t="n">
        <v>12.4</v>
      </c>
      <c r="H8" s="7" t="n">
        <v>10271.32</v>
      </c>
    </row>
    <row r="9" customFormat="false" ht="15" hidden="false" customHeight="false" outlineLevel="0" collapsed="false">
      <c r="A9" s="5" t="n">
        <v>2</v>
      </c>
      <c r="B9" s="6" t="n">
        <v>41608</v>
      </c>
      <c r="C9" s="5" t="s">
        <v>26</v>
      </c>
      <c r="D9" s="5" t="s">
        <v>27</v>
      </c>
      <c r="E9" s="7" t="n">
        <v>28803.68</v>
      </c>
      <c r="F9" s="8" t="n">
        <v>0</v>
      </c>
      <c r="G9" s="8" t="n">
        <v>19.74</v>
      </c>
      <c r="H9" s="7" t="n">
        <v>6201.39</v>
      </c>
    </row>
    <row r="10" customFormat="false" ht="15" hidden="false" customHeight="false" outlineLevel="0" collapsed="false">
      <c r="A10" s="5" t="n">
        <v>3</v>
      </c>
      <c r="B10" s="6" t="n">
        <v>41639</v>
      </c>
      <c r="C10" s="5" t="s">
        <v>20</v>
      </c>
      <c r="D10" s="5" t="s">
        <v>21</v>
      </c>
      <c r="E10" s="7" t="n">
        <v>49231.67</v>
      </c>
      <c r="F10" s="8" t="n">
        <v>100</v>
      </c>
      <c r="G10" s="8" t="n">
        <v>100</v>
      </c>
      <c r="H10" s="7" t="n">
        <v>39821.67</v>
      </c>
    </row>
    <row r="11" customFormat="false" ht="15" hidden="false" customHeight="false" outlineLevel="0" collapsed="false">
      <c r="A11" s="5" t="n">
        <v>3</v>
      </c>
      <c r="B11" s="6" t="n">
        <v>41639</v>
      </c>
      <c r="C11" s="5" t="s">
        <v>22</v>
      </c>
      <c r="D11" s="5" t="s">
        <v>23</v>
      </c>
      <c r="E11" s="7" t="n">
        <v>58025.66</v>
      </c>
      <c r="F11" s="8" t="n">
        <v>100</v>
      </c>
      <c r="G11" s="8" t="n">
        <v>58.03</v>
      </c>
      <c r="H11" s="7" t="n">
        <v>69412.98</v>
      </c>
    </row>
    <row r="12" customFormat="false" ht="15" hidden="false" customHeight="false" outlineLevel="0" collapsed="false">
      <c r="A12" s="5" t="n">
        <v>3</v>
      </c>
      <c r="B12" s="6" t="n">
        <v>41639</v>
      </c>
      <c r="C12" s="5" t="s">
        <v>24</v>
      </c>
      <c r="D12" s="5" t="s">
        <v>25</v>
      </c>
      <c r="E12" s="7" t="n">
        <v>78356.7</v>
      </c>
      <c r="F12" s="8" t="n">
        <v>100</v>
      </c>
      <c r="G12" s="8" t="n">
        <v>22.27</v>
      </c>
      <c r="H12" s="7" t="n">
        <v>40197.69</v>
      </c>
    </row>
    <row r="13" customFormat="false" ht="15" hidden="false" customHeight="false" outlineLevel="0" collapsed="false">
      <c r="A13" s="5" t="n">
        <v>3</v>
      </c>
      <c r="B13" s="6" t="n">
        <v>41639</v>
      </c>
      <c r="C13" s="5" t="s">
        <v>26</v>
      </c>
      <c r="D13" s="5" t="s">
        <v>27</v>
      </c>
      <c r="E13" s="7" t="n">
        <v>28803.68</v>
      </c>
      <c r="F13" s="8" t="n">
        <v>100</v>
      </c>
      <c r="G13" s="8" t="n">
        <v>39.49</v>
      </c>
      <c r="H13" s="7" t="n">
        <v>7162.11</v>
      </c>
    </row>
    <row r="14" customFormat="false" ht="15" hidden="false" customHeight="false" outlineLevel="0" collapsed="false">
      <c r="A14" s="5" t="n">
        <v>4</v>
      </c>
      <c r="B14" s="6" t="n">
        <v>41670</v>
      </c>
      <c r="C14" s="5" t="s">
        <v>20</v>
      </c>
      <c r="D14" s="5" t="s">
        <v>21</v>
      </c>
      <c r="E14" s="7" t="n">
        <v>49231.67</v>
      </c>
      <c r="F14" s="8" t="n">
        <v>100</v>
      </c>
      <c r="G14" s="8" t="n">
        <v>100</v>
      </c>
      <c r="H14" s="7" t="n">
        <v>41243.3</v>
      </c>
    </row>
    <row r="15" customFormat="false" ht="15" hidden="false" customHeight="false" outlineLevel="0" collapsed="false">
      <c r="A15" s="5" t="n">
        <v>4</v>
      </c>
      <c r="B15" s="6" t="n">
        <v>41670</v>
      </c>
      <c r="C15" s="5" t="s">
        <v>22</v>
      </c>
      <c r="D15" s="5" t="s">
        <v>23</v>
      </c>
      <c r="E15" s="7" t="n">
        <v>58025.66</v>
      </c>
      <c r="F15" s="8" t="n">
        <v>100</v>
      </c>
      <c r="G15" s="8" t="n">
        <v>86.78</v>
      </c>
      <c r="H15" s="7" t="n">
        <v>71306.63</v>
      </c>
    </row>
    <row r="16" customFormat="false" ht="15" hidden="false" customHeight="false" outlineLevel="0" collapsed="false">
      <c r="A16" s="5" t="n">
        <v>4</v>
      </c>
      <c r="B16" s="6" t="n">
        <v>41670</v>
      </c>
      <c r="C16" s="5" t="s">
        <v>24</v>
      </c>
      <c r="D16" s="5" t="s">
        <v>25</v>
      </c>
      <c r="E16" s="7" t="n">
        <v>78356.7</v>
      </c>
      <c r="F16" s="8" t="n">
        <v>100</v>
      </c>
      <c r="G16" s="8" t="n">
        <v>94.36</v>
      </c>
      <c r="H16" s="7" t="n">
        <v>72729.71</v>
      </c>
    </row>
    <row r="17" customFormat="false" ht="15" hidden="false" customHeight="false" outlineLevel="0" collapsed="false">
      <c r="A17" s="5" t="n">
        <v>4</v>
      </c>
      <c r="B17" s="6" t="n">
        <v>41670</v>
      </c>
      <c r="C17" s="5" t="s">
        <v>26</v>
      </c>
      <c r="D17" s="5" t="s">
        <v>27</v>
      </c>
      <c r="E17" s="7" t="n">
        <v>28803.68</v>
      </c>
      <c r="F17" s="8" t="n">
        <v>100</v>
      </c>
      <c r="G17" s="8" t="n">
        <v>59.23</v>
      </c>
      <c r="H17" s="7" t="n">
        <v>9479.96</v>
      </c>
    </row>
    <row r="18" customFormat="false" ht="15" hidden="false" customHeight="false" outlineLevel="0" collapsed="false">
      <c r="A18" s="5" t="n">
        <v>5</v>
      </c>
      <c r="B18" s="6" t="n">
        <v>41698</v>
      </c>
      <c r="C18" s="5" t="s">
        <v>20</v>
      </c>
      <c r="D18" s="5" t="s">
        <v>21</v>
      </c>
      <c r="E18" s="7" t="n">
        <v>49231.67</v>
      </c>
      <c r="F18" s="8" t="n">
        <v>100</v>
      </c>
      <c r="G18" s="8" t="n">
        <v>100</v>
      </c>
      <c r="H18" s="7" t="n">
        <v>41595.68</v>
      </c>
    </row>
    <row r="19" customFormat="false" ht="15" hidden="false" customHeight="false" outlineLevel="0" collapsed="false">
      <c r="A19" s="5" t="n">
        <v>5</v>
      </c>
      <c r="B19" s="6" t="n">
        <v>41698</v>
      </c>
      <c r="C19" s="5" t="s">
        <v>22</v>
      </c>
      <c r="D19" s="5" t="s">
        <v>23</v>
      </c>
      <c r="E19" s="7" t="n">
        <v>58025.66</v>
      </c>
      <c r="F19" s="8" t="n">
        <v>100</v>
      </c>
      <c r="G19" s="8" t="n">
        <v>100</v>
      </c>
      <c r="H19" s="7" t="n">
        <v>80867.4</v>
      </c>
    </row>
    <row r="20" customFormat="false" ht="15" hidden="false" customHeight="false" outlineLevel="0" collapsed="false">
      <c r="A20" s="5" t="n">
        <v>5</v>
      </c>
      <c r="B20" s="6" t="n">
        <v>41698</v>
      </c>
      <c r="C20" s="5" t="s">
        <v>24</v>
      </c>
      <c r="D20" s="5" t="s">
        <v>25</v>
      </c>
      <c r="E20" s="7" t="n">
        <v>78356.7</v>
      </c>
      <c r="F20" s="8" t="n">
        <v>100</v>
      </c>
      <c r="G20" s="8" t="n">
        <v>100</v>
      </c>
      <c r="H20" s="7" t="n">
        <v>75546.95</v>
      </c>
    </row>
    <row r="21" customFormat="false" ht="15" hidden="false" customHeight="false" outlineLevel="0" collapsed="false">
      <c r="A21" s="5" t="n">
        <v>5</v>
      </c>
      <c r="B21" s="6" t="n">
        <v>41698</v>
      </c>
      <c r="C21" s="5" t="s">
        <v>26</v>
      </c>
      <c r="D21" s="5" t="s">
        <v>27</v>
      </c>
      <c r="E21" s="7" t="n">
        <v>28803.68</v>
      </c>
      <c r="F21" s="8" t="n">
        <v>100</v>
      </c>
      <c r="G21" s="8" t="n">
        <v>100</v>
      </c>
      <c r="H21" s="7" t="n">
        <v>26779.64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12" min="8" style="0" width="13"/>
    <col collapsed="false" customWidth="true" hidden="false" outlineLevel="0" max="14" min="13" style="0" width="9"/>
    <col collapsed="false" customWidth="true" hidden="false" outlineLevel="0" max="15" min="15" style="0" width="16"/>
  </cols>
  <sheetData>
    <row r="1" customFormat="false" ht="31.5" hidden="false" customHeight="true" outlineLevel="0" collapsed="false">
      <c r="A1" s="4" t="s">
        <v>12</v>
      </c>
      <c r="B1" s="4" t="s">
        <v>28</v>
      </c>
      <c r="C1" s="4" t="s">
        <v>14</v>
      </c>
      <c r="D1" s="4" t="s">
        <v>15</v>
      </c>
      <c r="E1" s="4" t="s">
        <v>16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</row>
    <row r="2" customFormat="false" ht="15" hidden="false" customHeight="false" outlineLevel="0" collapsed="false">
      <c r="A2" s="9" t="n">
        <f aca="false">Inputs!A2</f>
        <v>1</v>
      </c>
      <c r="B2" s="10" t="n">
        <f aca="false">Inputs!B2</f>
        <v>41578</v>
      </c>
      <c r="C2" s="9" t="str">
        <f aca="false">Inputs!C2</f>
        <v>WP1</v>
      </c>
      <c r="D2" s="9" t="str">
        <f aca="false">Inputs!D2</f>
        <v>Demolition and sewerage</v>
      </c>
      <c r="E2" s="11" t="n">
        <f aca="false">Inputs!E2</f>
        <v>49231.67</v>
      </c>
      <c r="F2" s="12" t="n">
        <f aca="false">Inputs!F2</f>
        <v>100</v>
      </c>
      <c r="G2" s="12" t="n">
        <f aca="false">Inputs!G2</f>
        <v>61.54</v>
      </c>
      <c r="H2" s="11" t="n">
        <f aca="false">E2*F2/100</f>
        <v>49231.67</v>
      </c>
      <c r="I2" s="11" t="n">
        <f aca="false">E2*G2/100</f>
        <v>30297.169718</v>
      </c>
      <c r="J2" s="11" t="n">
        <f aca="false">Inputs!H2</f>
        <v>28328.72</v>
      </c>
      <c r="K2" s="11" t="n">
        <f aca="false">I2-J2</f>
        <v>1968.449718</v>
      </c>
      <c r="L2" s="11" t="n">
        <f aca="false">I2-H2</f>
        <v>-18934.500282</v>
      </c>
      <c r="M2" s="13" t="n">
        <f aca="false">IF(J2&gt;0,I2/J2,"Undefined")</f>
        <v>1.06948600988679</v>
      </c>
      <c r="N2" s="13" t="n">
        <f aca="false">IF(H2&gt;0,I2/H2,"Undefined")</f>
        <v>0.6154</v>
      </c>
      <c r="O2" s="9" t="str">
        <f aca="false">IF(AND(H2&lt;=0.005,I2&lt;=0.005,J2&lt;=0.005),"Not started",IF(OR(ISTEXT(M2),ISTEXT(N2)),"Insufficient data",IF(MIN(M2,N2)&lt;Settings!$B$3,"Critical",IF(MIN(M2,N2)&lt;Settings!$B$2,"Warning","Favourable"))))</f>
        <v>Critical</v>
      </c>
    </row>
    <row r="3" customFormat="false" ht="15" hidden="false" customHeight="false" outlineLevel="0" collapsed="false">
      <c r="A3" s="9" t="n">
        <f aca="false">Inputs!A3</f>
        <v>1</v>
      </c>
      <c r="B3" s="10" t="n">
        <f aca="false">Inputs!B3</f>
        <v>41578</v>
      </c>
      <c r="C3" s="9" t="str">
        <f aca="false">Inputs!C3</f>
        <v>WP2</v>
      </c>
      <c r="D3" s="9" t="str">
        <f aca="false">Inputs!D3</f>
        <v>Earthworks and foundations</v>
      </c>
      <c r="E3" s="11" t="n">
        <f aca="false">Inputs!E3</f>
        <v>58025.66</v>
      </c>
      <c r="F3" s="12" t="n">
        <f aca="false">Inputs!F3</f>
        <v>20.67</v>
      </c>
      <c r="G3" s="12" t="n">
        <f aca="false">Inputs!G3</f>
        <v>5.17</v>
      </c>
      <c r="H3" s="11" t="n">
        <f aca="false">E3*F3/100</f>
        <v>11993.903922</v>
      </c>
      <c r="I3" s="11" t="n">
        <f aca="false">E3*G3/100</f>
        <v>2999.926622</v>
      </c>
      <c r="J3" s="11" t="n">
        <f aca="false">Inputs!H3</f>
        <v>995.46</v>
      </c>
      <c r="K3" s="11" t="n">
        <f aca="false">I3-J3</f>
        <v>2004.466622</v>
      </c>
      <c r="L3" s="11" t="n">
        <f aca="false">I3-H3</f>
        <v>-8993.9773</v>
      </c>
      <c r="M3" s="13" t="n">
        <f aca="false">IF(J3&gt;0,I3/J3,"Undefined")</f>
        <v>3.01360840415486</v>
      </c>
      <c r="N3" s="13" t="n">
        <f aca="false">IF(H3&gt;0,I3/H3,"Undefined")</f>
        <v>0.250120948234156</v>
      </c>
      <c r="O3" s="9" t="str">
        <f aca="false">IF(AND(H3&lt;=0.005,I3&lt;=0.005,J3&lt;=0.005),"Not started",IF(OR(ISTEXT(M3),ISTEXT(N3)),"Insufficient data",IF(MIN(M3,N3)&lt;Settings!$B$3,"Critical",IF(MIN(M3,N3)&lt;Settings!$B$2,"Warning","Favourable"))))</f>
        <v>Critical</v>
      </c>
    </row>
    <row r="4" customFormat="false" ht="15" hidden="false" customHeight="false" outlineLevel="0" collapsed="false">
      <c r="A4" s="9" t="n">
        <f aca="false">Inputs!A4</f>
        <v>1</v>
      </c>
      <c r="B4" s="10" t="n">
        <f aca="false">Inputs!B4</f>
        <v>41578</v>
      </c>
      <c r="C4" s="9" t="str">
        <f aca="false">Inputs!C4</f>
        <v>WP3</v>
      </c>
      <c r="D4" s="9" t="str">
        <f aca="false">Inputs!D4</f>
        <v>Kerbs, paving and concrete</v>
      </c>
      <c r="E4" s="11" t="n">
        <f aca="false">Inputs!E4</f>
        <v>78356.7</v>
      </c>
      <c r="F4" s="12" t="n">
        <f aca="false">Inputs!F4</f>
        <v>0</v>
      </c>
      <c r="G4" s="12" t="n">
        <f aca="false">Inputs!G4</f>
        <v>0</v>
      </c>
      <c r="H4" s="11" t="n">
        <f aca="false">E4*F4/100</f>
        <v>0</v>
      </c>
      <c r="I4" s="11" t="n">
        <f aca="false">E4*G4/100</f>
        <v>0</v>
      </c>
      <c r="J4" s="11" t="n">
        <f aca="false">Inputs!H4</f>
        <v>0</v>
      </c>
      <c r="K4" s="11" t="n">
        <f aca="false">I4-J4</f>
        <v>0</v>
      </c>
      <c r="L4" s="11" t="n">
        <f aca="false">I4-H4</f>
        <v>0</v>
      </c>
      <c r="M4" s="13" t="str">
        <f aca="false">IF(J4&gt;0,I4/J4,"Undefined")</f>
        <v>Undefined</v>
      </c>
      <c r="N4" s="13" t="str">
        <f aca="false">IF(H4&gt;0,I4/H4,"Undefined")</f>
        <v>Undefined</v>
      </c>
      <c r="O4" s="9" t="str">
        <f aca="false">IF(AND(H4&lt;=0.005,I4&lt;=0.005,J4&lt;=0.005),"Not started",IF(OR(ISTEXT(M4),ISTEXT(N4)),"Insufficient data",IF(MIN(M4,N4)&lt;Settings!$B$3,"Critical",IF(MIN(M4,N4)&lt;Settings!$B$2,"Warning","Favourable"))))</f>
        <v>Not started</v>
      </c>
    </row>
    <row r="5" customFormat="false" ht="15" hidden="false" customHeight="false" outlineLevel="0" collapsed="false">
      <c r="A5" s="9" t="n">
        <f aca="false">Inputs!A5</f>
        <v>1</v>
      </c>
      <c r="B5" s="10" t="n">
        <f aca="false">Inputs!B5</f>
        <v>41578</v>
      </c>
      <c r="C5" s="9" t="str">
        <f aca="false">Inputs!C5</f>
        <v>WP4</v>
      </c>
      <c r="D5" s="9" t="str">
        <f aca="false">Inputs!D5</f>
        <v>Finishing: street furniture and signage</v>
      </c>
      <c r="E5" s="11" t="n">
        <f aca="false">Inputs!E5</f>
        <v>28803.68</v>
      </c>
      <c r="F5" s="12" t="n">
        <f aca="false">Inputs!F5</f>
        <v>0</v>
      </c>
      <c r="G5" s="12" t="n">
        <f aca="false">Inputs!G5</f>
        <v>0</v>
      </c>
      <c r="H5" s="11" t="n">
        <f aca="false">E5*F5/100</f>
        <v>0</v>
      </c>
      <c r="I5" s="11" t="n">
        <f aca="false">E5*G5/100</f>
        <v>0</v>
      </c>
      <c r="J5" s="11" t="n">
        <f aca="false">Inputs!H5</f>
        <v>0</v>
      </c>
      <c r="K5" s="11" t="n">
        <f aca="false">I5-J5</f>
        <v>0</v>
      </c>
      <c r="L5" s="11" t="n">
        <f aca="false">I5-H5</f>
        <v>0</v>
      </c>
      <c r="M5" s="13" t="str">
        <f aca="false">IF(J5&gt;0,I5/J5,"Undefined")</f>
        <v>Undefined</v>
      </c>
      <c r="N5" s="13" t="str">
        <f aca="false">IF(H5&gt;0,I5/H5,"Undefined")</f>
        <v>Undefined</v>
      </c>
      <c r="O5" s="9" t="str">
        <f aca="false">IF(AND(H5&lt;=0.005,I5&lt;=0.005,J5&lt;=0.005),"Not started",IF(OR(ISTEXT(M5),ISTEXT(N5)),"Insufficient data",IF(MIN(M5,N5)&lt;Settings!$B$3,"Critical",IF(MIN(M5,N5)&lt;Settings!$B$2,"Warning","Favourable"))))</f>
        <v>Not started</v>
      </c>
    </row>
    <row r="6" customFormat="false" ht="15" hidden="false" customHeight="false" outlineLevel="0" collapsed="false">
      <c r="A6" s="9" t="n">
        <f aca="false">Inputs!A6</f>
        <v>2</v>
      </c>
      <c r="B6" s="10" t="n">
        <f aca="false">Inputs!B6</f>
        <v>41608</v>
      </c>
      <c r="C6" s="9" t="str">
        <f aca="false">Inputs!C6</f>
        <v>WP1</v>
      </c>
      <c r="D6" s="9" t="str">
        <f aca="false">Inputs!D6</f>
        <v>Demolition and sewerage</v>
      </c>
      <c r="E6" s="11" t="n">
        <f aca="false">Inputs!E6</f>
        <v>49231.67</v>
      </c>
      <c r="F6" s="12" t="n">
        <f aca="false">Inputs!F6</f>
        <v>100</v>
      </c>
      <c r="G6" s="12" t="n">
        <f aca="false">Inputs!G6</f>
        <v>92.31</v>
      </c>
      <c r="H6" s="11" t="n">
        <f aca="false">E6*F6/100</f>
        <v>49231.67</v>
      </c>
      <c r="I6" s="11" t="n">
        <f aca="false">E6*G6/100</f>
        <v>45445.754577</v>
      </c>
      <c r="J6" s="11" t="n">
        <f aca="false">Inputs!H6</f>
        <v>38459.62</v>
      </c>
      <c r="K6" s="11" t="n">
        <f aca="false">I6-J6</f>
        <v>6986.134577</v>
      </c>
      <c r="L6" s="11" t="n">
        <f aca="false">I6-H6</f>
        <v>-3785.915423</v>
      </c>
      <c r="M6" s="13" t="n">
        <f aca="false">IF(J6&gt;0,I6/J6,"Undefined")</f>
        <v>1.18164855963215</v>
      </c>
      <c r="N6" s="13" t="n">
        <f aca="false">IF(H6&gt;0,I6/H6,"Undefined")</f>
        <v>0.9231</v>
      </c>
      <c r="O6" s="9" t="str">
        <f aca="false">IF(AND(H6&lt;=0.005,I6&lt;=0.005,J6&lt;=0.005),"Not started",IF(OR(ISTEXT(M6),ISTEXT(N6)),"Insufficient data",IF(MIN(M6,N6)&lt;Settings!$B$3,"Critical",IF(MIN(M6,N6)&lt;Settings!$B$2,"Warning","Favourable"))))</f>
        <v>Warning</v>
      </c>
    </row>
    <row r="7" customFormat="false" ht="15" hidden="false" customHeight="false" outlineLevel="0" collapsed="false">
      <c r="A7" s="9" t="n">
        <f aca="false">Inputs!A7</f>
        <v>2</v>
      </c>
      <c r="B7" s="10" t="n">
        <f aca="false">Inputs!B7</f>
        <v>41608</v>
      </c>
      <c r="C7" s="9" t="str">
        <f aca="false">Inputs!C7</f>
        <v>WP2</v>
      </c>
      <c r="D7" s="9" t="str">
        <f aca="false">Inputs!D7</f>
        <v>Earthworks and foundations</v>
      </c>
      <c r="E7" s="11" t="n">
        <f aca="false">Inputs!E7</f>
        <v>58025.66</v>
      </c>
      <c r="F7" s="12" t="n">
        <f aca="false">Inputs!F7</f>
        <v>100</v>
      </c>
      <c r="G7" s="12" t="n">
        <f aca="false">Inputs!G7</f>
        <v>32.64</v>
      </c>
      <c r="H7" s="11" t="n">
        <f aca="false">E7*F7/100</f>
        <v>58025.66</v>
      </c>
      <c r="I7" s="11" t="n">
        <f aca="false">E7*G7/100</f>
        <v>18939.575424</v>
      </c>
      <c r="J7" s="11" t="n">
        <f aca="false">Inputs!H7</f>
        <v>50759.94</v>
      </c>
      <c r="K7" s="11" t="n">
        <f aca="false">I7-J7</f>
        <v>-31820.364576</v>
      </c>
      <c r="L7" s="11" t="n">
        <f aca="false">I7-H7</f>
        <v>-39086.084576</v>
      </c>
      <c r="M7" s="13" t="n">
        <f aca="false">IF(J7&gt;0,I7/J7,"Undefined")</f>
        <v>0.373120524255939</v>
      </c>
      <c r="N7" s="13" t="n">
        <f aca="false">IF(H7&gt;0,I7/H7,"Undefined")</f>
        <v>0.3264</v>
      </c>
      <c r="O7" s="9" t="str">
        <f aca="false">IF(AND(H7&lt;=0.005,I7&lt;=0.005,J7&lt;=0.005),"Not started",IF(OR(ISTEXT(M7),ISTEXT(N7)),"Insufficient data",IF(MIN(M7,N7)&lt;Settings!$B$3,"Critical",IF(MIN(M7,N7)&lt;Settings!$B$2,"Warning","Favourable"))))</f>
        <v>Critical</v>
      </c>
    </row>
    <row r="8" customFormat="false" ht="15" hidden="false" customHeight="false" outlineLevel="0" collapsed="false">
      <c r="A8" s="9" t="n">
        <f aca="false">Inputs!A8</f>
        <v>2</v>
      </c>
      <c r="B8" s="10" t="n">
        <f aca="false">Inputs!B8</f>
        <v>41608</v>
      </c>
      <c r="C8" s="9" t="str">
        <f aca="false">Inputs!C8</f>
        <v>WP3</v>
      </c>
      <c r="D8" s="9" t="str">
        <f aca="false">Inputs!D8</f>
        <v>Kerbs, paving and concrete</v>
      </c>
      <c r="E8" s="11" t="n">
        <f aca="false">Inputs!E8</f>
        <v>78356.7</v>
      </c>
      <c r="F8" s="12" t="n">
        <f aca="false">Inputs!F8</f>
        <v>5.75</v>
      </c>
      <c r="G8" s="12" t="n">
        <f aca="false">Inputs!G8</f>
        <v>12.4</v>
      </c>
      <c r="H8" s="11" t="n">
        <f aca="false">E8*F8/100</f>
        <v>4505.51025</v>
      </c>
      <c r="I8" s="11" t="n">
        <f aca="false">E8*G8/100</f>
        <v>9716.2308</v>
      </c>
      <c r="J8" s="11" t="n">
        <f aca="false">Inputs!H8</f>
        <v>10271.32</v>
      </c>
      <c r="K8" s="11" t="n">
        <f aca="false">I8-J8</f>
        <v>-555.0892</v>
      </c>
      <c r="L8" s="11" t="n">
        <f aca="false">I8-H8</f>
        <v>5210.72055</v>
      </c>
      <c r="M8" s="13" t="n">
        <f aca="false">IF(J8&gt;0,I8/J8,"Undefined")</f>
        <v>0.945957364778821</v>
      </c>
      <c r="N8" s="13" t="n">
        <f aca="false">IF(H8&gt;0,I8/H8,"Undefined")</f>
        <v>2.15652173913043</v>
      </c>
      <c r="O8" s="9" t="str">
        <f aca="false">IF(AND(H8&lt;=0.005,I8&lt;=0.005,J8&lt;=0.005),"Not started",IF(OR(ISTEXT(M8),ISTEXT(N8)),"Insufficient data",IF(MIN(M8,N8)&lt;Settings!$B$3,"Critical",IF(MIN(M8,N8)&lt;Settings!$B$2,"Warning","Favourable"))))</f>
        <v>Warning</v>
      </c>
    </row>
    <row r="9" customFormat="false" ht="15" hidden="false" customHeight="false" outlineLevel="0" collapsed="false">
      <c r="A9" s="9" t="n">
        <f aca="false">Inputs!A9</f>
        <v>2</v>
      </c>
      <c r="B9" s="10" t="n">
        <f aca="false">Inputs!B9</f>
        <v>41608</v>
      </c>
      <c r="C9" s="9" t="str">
        <f aca="false">Inputs!C9</f>
        <v>WP4</v>
      </c>
      <c r="D9" s="9" t="str">
        <f aca="false">Inputs!D9</f>
        <v>Finishing: street furniture and signage</v>
      </c>
      <c r="E9" s="11" t="n">
        <f aca="false">Inputs!E9</f>
        <v>28803.68</v>
      </c>
      <c r="F9" s="12" t="n">
        <f aca="false">Inputs!F9</f>
        <v>0</v>
      </c>
      <c r="G9" s="12" t="n">
        <f aca="false">Inputs!G9</f>
        <v>19.74</v>
      </c>
      <c r="H9" s="11" t="n">
        <f aca="false">E9*F9/100</f>
        <v>0</v>
      </c>
      <c r="I9" s="11" t="n">
        <f aca="false">E9*G9/100</f>
        <v>5685.846432</v>
      </c>
      <c r="J9" s="11" t="n">
        <f aca="false">Inputs!H9</f>
        <v>6201.39</v>
      </c>
      <c r="K9" s="11" t="n">
        <f aca="false">I9-J9</f>
        <v>-515.543568000001</v>
      </c>
      <c r="L9" s="11" t="n">
        <f aca="false">I9-H9</f>
        <v>5685.846432</v>
      </c>
      <c r="M9" s="13" t="n">
        <f aca="false">IF(J9&gt;0,I9/J9,"Undefined")</f>
        <v>0.916866449618553</v>
      </c>
      <c r="N9" s="13" t="str">
        <f aca="false">IF(H9&gt;0,I9/H9,"Undefined")</f>
        <v>Undefined</v>
      </c>
      <c r="O9" s="9" t="str">
        <f aca="false">IF(AND(H9&lt;=0.005,I9&lt;=0.005,J9&lt;=0.005),"Not started",IF(OR(ISTEXT(M9),ISTEXT(N9)),"Insufficient data",IF(MIN(M9,N9)&lt;Settings!$B$3,"Critical",IF(MIN(M9,N9)&lt;Settings!$B$2,"Warning","Favourable"))))</f>
        <v>Insufficient data</v>
      </c>
    </row>
    <row r="10" customFormat="false" ht="15" hidden="false" customHeight="false" outlineLevel="0" collapsed="false">
      <c r="A10" s="9" t="n">
        <f aca="false">Inputs!A10</f>
        <v>3</v>
      </c>
      <c r="B10" s="10" t="n">
        <f aca="false">Inputs!B10</f>
        <v>41639</v>
      </c>
      <c r="C10" s="9" t="str">
        <f aca="false">Inputs!C10</f>
        <v>WP1</v>
      </c>
      <c r="D10" s="9" t="str">
        <f aca="false">Inputs!D10</f>
        <v>Demolition and sewerage</v>
      </c>
      <c r="E10" s="11" t="n">
        <f aca="false">Inputs!E10</f>
        <v>49231.67</v>
      </c>
      <c r="F10" s="12" t="n">
        <f aca="false">Inputs!F10</f>
        <v>100</v>
      </c>
      <c r="G10" s="12" t="n">
        <f aca="false">Inputs!G10</f>
        <v>100</v>
      </c>
      <c r="H10" s="11" t="n">
        <f aca="false">E10*F10/100</f>
        <v>49231.67</v>
      </c>
      <c r="I10" s="11" t="n">
        <f aca="false">E10*G10/100</f>
        <v>49231.67</v>
      </c>
      <c r="J10" s="11" t="n">
        <f aca="false">Inputs!H10</f>
        <v>39821.67</v>
      </c>
      <c r="K10" s="11" t="n">
        <f aca="false">I10-J10</f>
        <v>9410</v>
      </c>
      <c r="L10" s="11" t="n">
        <f aca="false">I10-H10</f>
        <v>0</v>
      </c>
      <c r="M10" s="13" t="n">
        <f aca="false">IF(J10&gt;0,I10/J10,"Undefined")</f>
        <v>1.23630350007923</v>
      </c>
      <c r="N10" s="13" t="n">
        <f aca="false">IF(H10&gt;0,I10/H10,"Undefined")</f>
        <v>1</v>
      </c>
      <c r="O10" s="9" t="str">
        <f aca="false">IF(AND(H10&lt;=0.005,I10&lt;=0.005,J10&lt;=0.005),"Not started",IF(OR(ISTEXT(M10),ISTEXT(N10)),"Insufficient data",IF(MIN(M10,N10)&lt;Settings!$B$3,"Critical",IF(MIN(M10,N10)&lt;Settings!$B$2,"Warning","Favourable"))))</f>
        <v>Favourable</v>
      </c>
    </row>
    <row r="11" customFormat="false" ht="15" hidden="false" customHeight="false" outlineLevel="0" collapsed="false">
      <c r="A11" s="9" t="n">
        <f aca="false">Inputs!A11</f>
        <v>3</v>
      </c>
      <c r="B11" s="10" t="n">
        <f aca="false">Inputs!B11</f>
        <v>41639</v>
      </c>
      <c r="C11" s="9" t="str">
        <f aca="false">Inputs!C11</f>
        <v>WP2</v>
      </c>
      <c r="D11" s="9" t="str">
        <f aca="false">Inputs!D11</f>
        <v>Earthworks and foundations</v>
      </c>
      <c r="E11" s="11" t="n">
        <f aca="false">Inputs!E11</f>
        <v>58025.66</v>
      </c>
      <c r="F11" s="12" t="n">
        <f aca="false">Inputs!F11</f>
        <v>100</v>
      </c>
      <c r="G11" s="12" t="n">
        <f aca="false">Inputs!G11</f>
        <v>58.03</v>
      </c>
      <c r="H11" s="11" t="n">
        <f aca="false">E11*F11/100</f>
        <v>58025.66</v>
      </c>
      <c r="I11" s="11" t="n">
        <f aca="false">E11*G11/100</f>
        <v>33672.290498</v>
      </c>
      <c r="J11" s="11" t="n">
        <f aca="false">Inputs!H11</f>
        <v>69412.98</v>
      </c>
      <c r="K11" s="11" t="n">
        <f aca="false">I11-J11</f>
        <v>-35740.689502</v>
      </c>
      <c r="L11" s="11" t="n">
        <f aca="false">I11-H11</f>
        <v>-24353.369502</v>
      </c>
      <c r="M11" s="13" t="n">
        <f aca="false">IF(J11&gt;0,I11/J11,"Undefined")</f>
        <v>0.485100776511828</v>
      </c>
      <c r="N11" s="13" t="n">
        <f aca="false">IF(H11&gt;0,I11/H11,"Undefined")</f>
        <v>0.5803</v>
      </c>
      <c r="O11" s="9" t="str">
        <f aca="false">IF(AND(H11&lt;=0.005,I11&lt;=0.005,J11&lt;=0.005),"Not started",IF(OR(ISTEXT(M11),ISTEXT(N11)),"Insufficient data",IF(MIN(M11,N11)&lt;Settings!$B$3,"Critical",IF(MIN(M11,N11)&lt;Settings!$B$2,"Warning","Favourable"))))</f>
        <v>Critical</v>
      </c>
    </row>
    <row r="12" customFormat="false" ht="15" hidden="false" customHeight="false" outlineLevel="0" collapsed="false">
      <c r="A12" s="9" t="n">
        <f aca="false">Inputs!A12</f>
        <v>3</v>
      </c>
      <c r="B12" s="10" t="n">
        <f aca="false">Inputs!B12</f>
        <v>41639</v>
      </c>
      <c r="C12" s="9" t="str">
        <f aca="false">Inputs!C12</f>
        <v>WP3</v>
      </c>
      <c r="D12" s="9" t="str">
        <f aca="false">Inputs!D12</f>
        <v>Kerbs, paving and concrete</v>
      </c>
      <c r="E12" s="11" t="n">
        <f aca="false">Inputs!E12</f>
        <v>78356.7</v>
      </c>
      <c r="F12" s="12" t="n">
        <f aca="false">Inputs!F12</f>
        <v>100</v>
      </c>
      <c r="G12" s="12" t="n">
        <f aca="false">Inputs!G12</f>
        <v>22.27</v>
      </c>
      <c r="H12" s="11" t="n">
        <f aca="false">E12*F12/100</f>
        <v>78356.7</v>
      </c>
      <c r="I12" s="11" t="n">
        <f aca="false">E12*G12/100</f>
        <v>17450.03709</v>
      </c>
      <c r="J12" s="11" t="n">
        <f aca="false">Inputs!H12</f>
        <v>40197.69</v>
      </c>
      <c r="K12" s="11" t="n">
        <f aca="false">I12-J12</f>
        <v>-22747.65291</v>
      </c>
      <c r="L12" s="11" t="n">
        <f aca="false">I12-H12</f>
        <v>-60906.66291</v>
      </c>
      <c r="M12" s="13" t="n">
        <f aca="false">IF(J12&gt;0,I12/J12,"Undefined")</f>
        <v>0.434105469493396</v>
      </c>
      <c r="N12" s="13" t="n">
        <f aca="false">IF(H12&gt;0,I12/H12,"Undefined")</f>
        <v>0.2227</v>
      </c>
      <c r="O12" s="9" t="str">
        <f aca="false">IF(AND(H12&lt;=0.005,I12&lt;=0.005,J12&lt;=0.005),"Not started",IF(OR(ISTEXT(M12),ISTEXT(N12)),"Insufficient data",IF(MIN(M12,N12)&lt;Settings!$B$3,"Critical",IF(MIN(M12,N12)&lt;Settings!$B$2,"Warning","Favourable"))))</f>
        <v>Critical</v>
      </c>
    </row>
    <row r="13" customFormat="false" ht="15" hidden="false" customHeight="false" outlineLevel="0" collapsed="false">
      <c r="A13" s="9" t="n">
        <f aca="false">Inputs!A13</f>
        <v>3</v>
      </c>
      <c r="B13" s="10" t="n">
        <f aca="false">Inputs!B13</f>
        <v>41639</v>
      </c>
      <c r="C13" s="9" t="str">
        <f aca="false">Inputs!C13</f>
        <v>WP4</v>
      </c>
      <c r="D13" s="9" t="str">
        <f aca="false">Inputs!D13</f>
        <v>Finishing: street furniture and signage</v>
      </c>
      <c r="E13" s="11" t="n">
        <f aca="false">Inputs!E13</f>
        <v>28803.68</v>
      </c>
      <c r="F13" s="12" t="n">
        <f aca="false">Inputs!F13</f>
        <v>100</v>
      </c>
      <c r="G13" s="12" t="n">
        <f aca="false">Inputs!G13</f>
        <v>39.49</v>
      </c>
      <c r="H13" s="11" t="n">
        <f aca="false">E13*F13/100</f>
        <v>28803.68</v>
      </c>
      <c r="I13" s="11" t="n">
        <f aca="false">E13*G13/100</f>
        <v>11374.573232</v>
      </c>
      <c r="J13" s="11" t="n">
        <f aca="false">Inputs!H13</f>
        <v>7162.11</v>
      </c>
      <c r="K13" s="11" t="n">
        <f aca="false">I13-J13</f>
        <v>4212.463232</v>
      </c>
      <c r="L13" s="11" t="n">
        <f aca="false">I13-H13</f>
        <v>-17429.106768</v>
      </c>
      <c r="M13" s="13" t="n">
        <f aca="false">IF(J13&gt;0,I13/J13,"Undefined")</f>
        <v>1.58815952729014</v>
      </c>
      <c r="N13" s="13" t="n">
        <f aca="false">IF(H13&gt;0,I13/H13,"Undefined")</f>
        <v>0.3949</v>
      </c>
      <c r="O13" s="9" t="str">
        <f aca="false">IF(AND(H13&lt;=0.005,I13&lt;=0.005,J13&lt;=0.005),"Not started",IF(OR(ISTEXT(M13),ISTEXT(N13)),"Insufficient data",IF(MIN(M13,N13)&lt;Settings!$B$3,"Critical",IF(MIN(M13,N13)&lt;Settings!$B$2,"Warning","Favourable"))))</f>
        <v>Critical</v>
      </c>
    </row>
    <row r="14" customFormat="false" ht="15" hidden="false" customHeight="false" outlineLevel="0" collapsed="false">
      <c r="A14" s="9" t="n">
        <f aca="false">Inputs!A14</f>
        <v>4</v>
      </c>
      <c r="B14" s="10" t="n">
        <f aca="false">Inputs!B14</f>
        <v>41670</v>
      </c>
      <c r="C14" s="9" t="str">
        <f aca="false">Inputs!C14</f>
        <v>WP1</v>
      </c>
      <c r="D14" s="9" t="str">
        <f aca="false">Inputs!D14</f>
        <v>Demolition and sewerage</v>
      </c>
      <c r="E14" s="11" t="n">
        <f aca="false">Inputs!E14</f>
        <v>49231.67</v>
      </c>
      <c r="F14" s="12" t="n">
        <f aca="false">Inputs!F14</f>
        <v>100</v>
      </c>
      <c r="G14" s="12" t="n">
        <f aca="false">Inputs!G14</f>
        <v>100</v>
      </c>
      <c r="H14" s="11" t="n">
        <f aca="false">E14*F14/100</f>
        <v>49231.67</v>
      </c>
      <c r="I14" s="11" t="n">
        <f aca="false">E14*G14/100</f>
        <v>49231.67</v>
      </c>
      <c r="J14" s="11" t="n">
        <f aca="false">Inputs!H14</f>
        <v>41243.3</v>
      </c>
      <c r="K14" s="11" t="n">
        <f aca="false">I14-J14</f>
        <v>7988.37</v>
      </c>
      <c r="L14" s="11" t="n">
        <f aca="false">I14-H14</f>
        <v>0</v>
      </c>
      <c r="M14" s="13" t="n">
        <f aca="false">IF(J14&gt;0,I14/J14,"Undefined")</f>
        <v>1.19368891432063</v>
      </c>
      <c r="N14" s="13" t="n">
        <f aca="false">IF(H14&gt;0,I14/H14,"Undefined")</f>
        <v>1</v>
      </c>
      <c r="O14" s="9" t="str">
        <f aca="false">IF(AND(H14&lt;=0.005,I14&lt;=0.005,J14&lt;=0.005),"Not started",IF(OR(ISTEXT(M14),ISTEXT(N14)),"Insufficient data",IF(MIN(M14,N14)&lt;Settings!$B$3,"Critical",IF(MIN(M14,N14)&lt;Settings!$B$2,"Warning","Favourable"))))</f>
        <v>Favourable</v>
      </c>
    </row>
    <row r="15" customFormat="false" ht="15" hidden="false" customHeight="false" outlineLevel="0" collapsed="false">
      <c r="A15" s="9" t="n">
        <f aca="false">Inputs!A15</f>
        <v>4</v>
      </c>
      <c r="B15" s="10" t="n">
        <f aca="false">Inputs!B15</f>
        <v>41670</v>
      </c>
      <c r="C15" s="9" t="str">
        <f aca="false">Inputs!C15</f>
        <v>WP2</v>
      </c>
      <c r="D15" s="9" t="str">
        <f aca="false">Inputs!D15</f>
        <v>Earthworks and foundations</v>
      </c>
      <c r="E15" s="11" t="n">
        <f aca="false">Inputs!E15</f>
        <v>58025.66</v>
      </c>
      <c r="F15" s="12" t="n">
        <f aca="false">Inputs!F15</f>
        <v>100</v>
      </c>
      <c r="G15" s="12" t="n">
        <f aca="false">Inputs!G15</f>
        <v>86.78</v>
      </c>
      <c r="H15" s="11" t="n">
        <f aca="false">E15*F15/100</f>
        <v>58025.66</v>
      </c>
      <c r="I15" s="11" t="n">
        <f aca="false">E15*G15/100</f>
        <v>50354.667748</v>
      </c>
      <c r="J15" s="11" t="n">
        <f aca="false">Inputs!H15</f>
        <v>71306.63</v>
      </c>
      <c r="K15" s="11" t="n">
        <f aca="false">I15-J15</f>
        <v>-20951.962252</v>
      </c>
      <c r="L15" s="11" t="n">
        <f aca="false">I15-H15</f>
        <v>-7670.992252</v>
      </c>
      <c r="M15" s="13" t="n">
        <f aca="false">IF(J15&gt;0,I15/J15,"Undefined")</f>
        <v>0.706170909324982</v>
      </c>
      <c r="N15" s="13" t="n">
        <f aca="false">IF(H15&gt;0,I15/H15,"Undefined")</f>
        <v>0.8678</v>
      </c>
      <c r="O15" s="9" t="str">
        <f aca="false">IF(AND(H15&lt;=0.005,I15&lt;=0.005,J15&lt;=0.005),"Not started",IF(OR(ISTEXT(M15),ISTEXT(N15)),"Insufficient data",IF(MIN(M15,N15)&lt;Settings!$B$3,"Critical",IF(MIN(M15,N15)&lt;Settings!$B$2,"Warning","Favourable"))))</f>
        <v>Critical</v>
      </c>
    </row>
    <row r="16" customFormat="false" ht="15" hidden="false" customHeight="false" outlineLevel="0" collapsed="false">
      <c r="A16" s="9" t="n">
        <f aca="false">Inputs!A16</f>
        <v>4</v>
      </c>
      <c r="B16" s="10" t="n">
        <f aca="false">Inputs!B16</f>
        <v>41670</v>
      </c>
      <c r="C16" s="9" t="str">
        <f aca="false">Inputs!C16</f>
        <v>WP3</v>
      </c>
      <c r="D16" s="9" t="str">
        <f aca="false">Inputs!D16</f>
        <v>Kerbs, paving and concrete</v>
      </c>
      <c r="E16" s="11" t="n">
        <f aca="false">Inputs!E16</f>
        <v>78356.7</v>
      </c>
      <c r="F16" s="12" t="n">
        <f aca="false">Inputs!F16</f>
        <v>100</v>
      </c>
      <c r="G16" s="12" t="n">
        <f aca="false">Inputs!G16</f>
        <v>94.36</v>
      </c>
      <c r="H16" s="11" t="n">
        <f aca="false">E16*F16/100</f>
        <v>78356.7</v>
      </c>
      <c r="I16" s="11" t="n">
        <f aca="false">E16*G16/100</f>
        <v>73937.38212</v>
      </c>
      <c r="J16" s="11" t="n">
        <f aca="false">Inputs!H16</f>
        <v>72729.71</v>
      </c>
      <c r="K16" s="11" t="n">
        <f aca="false">I16-J16</f>
        <v>1207.67211999999</v>
      </c>
      <c r="L16" s="11" t="n">
        <f aca="false">I16-H16</f>
        <v>-4419.31788</v>
      </c>
      <c r="M16" s="13" t="n">
        <f aca="false">IF(J16&gt;0,I16/J16,"Undefined")</f>
        <v>1.01660493517711</v>
      </c>
      <c r="N16" s="13" t="n">
        <f aca="false">IF(H16&gt;0,I16/H16,"Undefined")</f>
        <v>0.9436</v>
      </c>
      <c r="O16" s="9" t="str">
        <f aca="false">IF(AND(H16&lt;=0.005,I16&lt;=0.005,J16&lt;=0.005),"Not started",IF(OR(ISTEXT(M16),ISTEXT(N16)),"Insufficient data",IF(MIN(M16,N16)&lt;Settings!$B$3,"Critical",IF(MIN(M16,N16)&lt;Settings!$B$2,"Warning","Favourable"))))</f>
        <v>Warning</v>
      </c>
    </row>
    <row r="17" customFormat="false" ht="15" hidden="false" customHeight="false" outlineLevel="0" collapsed="false">
      <c r="A17" s="9" t="n">
        <f aca="false">Inputs!A17</f>
        <v>4</v>
      </c>
      <c r="B17" s="10" t="n">
        <f aca="false">Inputs!B17</f>
        <v>41670</v>
      </c>
      <c r="C17" s="9" t="str">
        <f aca="false">Inputs!C17</f>
        <v>WP4</v>
      </c>
      <c r="D17" s="9" t="str">
        <f aca="false">Inputs!D17</f>
        <v>Finishing: street furniture and signage</v>
      </c>
      <c r="E17" s="11" t="n">
        <f aca="false">Inputs!E17</f>
        <v>28803.68</v>
      </c>
      <c r="F17" s="12" t="n">
        <f aca="false">Inputs!F17</f>
        <v>100</v>
      </c>
      <c r="G17" s="12" t="n">
        <f aca="false">Inputs!G17</f>
        <v>59.23</v>
      </c>
      <c r="H17" s="11" t="n">
        <f aca="false">E17*F17/100</f>
        <v>28803.68</v>
      </c>
      <c r="I17" s="11" t="n">
        <f aca="false">E17*G17/100</f>
        <v>17060.419664</v>
      </c>
      <c r="J17" s="11" t="n">
        <f aca="false">Inputs!H17</f>
        <v>9479.96</v>
      </c>
      <c r="K17" s="11" t="n">
        <f aca="false">I17-J17</f>
        <v>7580.459664</v>
      </c>
      <c r="L17" s="11" t="n">
        <f aca="false">I17-H17</f>
        <v>-11743.260336</v>
      </c>
      <c r="M17" s="13" t="n">
        <f aca="false">IF(J17&gt;0,I17/J17,"Undefined")</f>
        <v>1.79962992080135</v>
      </c>
      <c r="N17" s="13" t="n">
        <f aca="false">IF(H17&gt;0,I17/H17,"Undefined")</f>
        <v>0.5923</v>
      </c>
      <c r="O17" s="9" t="str">
        <f aca="false">IF(AND(H17&lt;=0.005,I17&lt;=0.005,J17&lt;=0.005),"Not started",IF(OR(ISTEXT(M17),ISTEXT(N17)),"Insufficient data",IF(MIN(M17,N17)&lt;Settings!$B$3,"Critical",IF(MIN(M17,N17)&lt;Settings!$B$2,"Warning","Favourable"))))</f>
        <v>Critical</v>
      </c>
    </row>
    <row r="18" customFormat="false" ht="15" hidden="false" customHeight="false" outlineLevel="0" collapsed="false">
      <c r="A18" s="9" t="n">
        <f aca="false">Inputs!A18</f>
        <v>5</v>
      </c>
      <c r="B18" s="10" t="n">
        <f aca="false">Inputs!B18</f>
        <v>41698</v>
      </c>
      <c r="C18" s="9" t="str">
        <f aca="false">Inputs!C18</f>
        <v>WP1</v>
      </c>
      <c r="D18" s="9" t="str">
        <f aca="false">Inputs!D18</f>
        <v>Demolition and sewerage</v>
      </c>
      <c r="E18" s="11" t="n">
        <f aca="false">Inputs!E18</f>
        <v>49231.67</v>
      </c>
      <c r="F18" s="12" t="n">
        <f aca="false">Inputs!F18</f>
        <v>100</v>
      </c>
      <c r="G18" s="12" t="n">
        <f aca="false">Inputs!G18</f>
        <v>100</v>
      </c>
      <c r="H18" s="11" t="n">
        <f aca="false">E18*F18/100</f>
        <v>49231.67</v>
      </c>
      <c r="I18" s="11" t="n">
        <f aca="false">E18*G18/100</f>
        <v>49231.67</v>
      </c>
      <c r="J18" s="11" t="n">
        <f aca="false">Inputs!H18</f>
        <v>41595.68</v>
      </c>
      <c r="K18" s="11" t="n">
        <f aca="false">I18-J18</f>
        <v>7635.99</v>
      </c>
      <c r="L18" s="11" t="n">
        <f aca="false">I18-H18</f>
        <v>0</v>
      </c>
      <c r="M18" s="13" t="n">
        <f aca="false">IF(J18&gt;0,I18/J18,"Undefined")</f>
        <v>1.18357651563816</v>
      </c>
      <c r="N18" s="13" t="n">
        <f aca="false">IF(H18&gt;0,I18/H18,"Undefined")</f>
        <v>1</v>
      </c>
      <c r="O18" s="9" t="str">
        <f aca="false">IF(AND(H18&lt;=0.005,I18&lt;=0.005,J18&lt;=0.005),"Not started",IF(OR(ISTEXT(M18),ISTEXT(N18)),"Insufficient data",IF(MIN(M18,N18)&lt;Settings!$B$3,"Critical",IF(MIN(M18,N18)&lt;Settings!$B$2,"Warning","Favourable"))))</f>
        <v>Favourable</v>
      </c>
    </row>
    <row r="19" customFormat="false" ht="15" hidden="false" customHeight="false" outlineLevel="0" collapsed="false">
      <c r="A19" s="9" t="n">
        <f aca="false">Inputs!A19</f>
        <v>5</v>
      </c>
      <c r="B19" s="10" t="n">
        <f aca="false">Inputs!B19</f>
        <v>41698</v>
      </c>
      <c r="C19" s="9" t="str">
        <f aca="false">Inputs!C19</f>
        <v>WP2</v>
      </c>
      <c r="D19" s="9" t="str">
        <f aca="false">Inputs!D19</f>
        <v>Earthworks and foundations</v>
      </c>
      <c r="E19" s="11" t="n">
        <f aca="false">Inputs!E19</f>
        <v>58025.66</v>
      </c>
      <c r="F19" s="12" t="n">
        <f aca="false">Inputs!F19</f>
        <v>100</v>
      </c>
      <c r="G19" s="12" t="n">
        <f aca="false">Inputs!G19</f>
        <v>100</v>
      </c>
      <c r="H19" s="11" t="n">
        <f aca="false">E19*F19/100</f>
        <v>58025.66</v>
      </c>
      <c r="I19" s="11" t="n">
        <f aca="false">E19*G19/100</f>
        <v>58025.66</v>
      </c>
      <c r="J19" s="11" t="n">
        <f aca="false">Inputs!H19</f>
        <v>80867.4</v>
      </c>
      <c r="K19" s="11" t="n">
        <f aca="false">I19-J19</f>
        <v>-22841.74</v>
      </c>
      <c r="L19" s="11" t="n">
        <f aca="false">I19-H19</f>
        <v>0</v>
      </c>
      <c r="M19" s="13" t="n">
        <f aca="false">IF(J19&gt;0,I19/J19,"Undefined")</f>
        <v>0.717540813727163</v>
      </c>
      <c r="N19" s="13" t="n">
        <f aca="false">IF(H19&gt;0,I19/H19,"Undefined")</f>
        <v>1</v>
      </c>
      <c r="O19" s="9" t="str">
        <f aca="false">IF(AND(H19&lt;=0.005,I19&lt;=0.005,J19&lt;=0.005),"Not started",IF(OR(ISTEXT(M19),ISTEXT(N19)),"Insufficient data",IF(MIN(M19,N19)&lt;Settings!$B$3,"Critical",IF(MIN(M19,N19)&lt;Settings!$B$2,"Warning","Favourable"))))</f>
        <v>Critical</v>
      </c>
    </row>
    <row r="20" customFormat="false" ht="15" hidden="false" customHeight="false" outlineLevel="0" collapsed="false">
      <c r="A20" s="9" t="n">
        <f aca="false">Inputs!A20</f>
        <v>5</v>
      </c>
      <c r="B20" s="10" t="n">
        <f aca="false">Inputs!B20</f>
        <v>41698</v>
      </c>
      <c r="C20" s="9" t="str">
        <f aca="false">Inputs!C20</f>
        <v>WP3</v>
      </c>
      <c r="D20" s="9" t="str">
        <f aca="false">Inputs!D20</f>
        <v>Kerbs, paving and concrete</v>
      </c>
      <c r="E20" s="11" t="n">
        <f aca="false">Inputs!E20</f>
        <v>78356.7</v>
      </c>
      <c r="F20" s="12" t="n">
        <f aca="false">Inputs!F20</f>
        <v>100</v>
      </c>
      <c r="G20" s="12" t="n">
        <f aca="false">Inputs!G20</f>
        <v>100</v>
      </c>
      <c r="H20" s="11" t="n">
        <f aca="false">E20*F20/100</f>
        <v>78356.7</v>
      </c>
      <c r="I20" s="11" t="n">
        <f aca="false">E20*G20/100</f>
        <v>78356.7</v>
      </c>
      <c r="J20" s="11" t="n">
        <f aca="false">Inputs!H20</f>
        <v>75546.95</v>
      </c>
      <c r="K20" s="11" t="n">
        <f aca="false">I20-J20</f>
        <v>2809.75</v>
      </c>
      <c r="L20" s="11" t="n">
        <f aca="false">I20-H20</f>
        <v>0</v>
      </c>
      <c r="M20" s="13" t="n">
        <f aca="false">IF(J20&gt;0,I20/J20,"Undefined")</f>
        <v>1.03719210371828</v>
      </c>
      <c r="N20" s="13" t="n">
        <f aca="false">IF(H20&gt;0,I20/H20,"Undefined")</f>
        <v>1</v>
      </c>
      <c r="O20" s="9" t="str">
        <f aca="false">IF(AND(H20&lt;=0.005,I20&lt;=0.005,J20&lt;=0.005),"Not started",IF(OR(ISTEXT(M20),ISTEXT(N20)),"Insufficient data",IF(MIN(M20,N20)&lt;Settings!$B$3,"Critical",IF(MIN(M20,N20)&lt;Settings!$B$2,"Warning","Favourable"))))</f>
        <v>Favourable</v>
      </c>
    </row>
    <row r="21" customFormat="false" ht="15" hidden="false" customHeight="false" outlineLevel="0" collapsed="false">
      <c r="A21" s="9" t="n">
        <f aca="false">Inputs!A21</f>
        <v>5</v>
      </c>
      <c r="B21" s="10" t="n">
        <f aca="false">Inputs!B21</f>
        <v>41698</v>
      </c>
      <c r="C21" s="9" t="str">
        <f aca="false">Inputs!C21</f>
        <v>WP4</v>
      </c>
      <c r="D21" s="9" t="str">
        <f aca="false">Inputs!D21</f>
        <v>Finishing: street furniture and signage</v>
      </c>
      <c r="E21" s="11" t="n">
        <f aca="false">Inputs!E21</f>
        <v>28803.68</v>
      </c>
      <c r="F21" s="12" t="n">
        <f aca="false">Inputs!F21</f>
        <v>100</v>
      </c>
      <c r="G21" s="12" t="n">
        <f aca="false">Inputs!G21</f>
        <v>100</v>
      </c>
      <c r="H21" s="11" t="n">
        <f aca="false">E21*F21/100</f>
        <v>28803.68</v>
      </c>
      <c r="I21" s="11" t="n">
        <f aca="false">E21*G21/100</f>
        <v>28803.68</v>
      </c>
      <c r="J21" s="11" t="n">
        <f aca="false">Inputs!H21</f>
        <v>26779.64</v>
      </c>
      <c r="K21" s="11" t="n">
        <f aca="false">I21-J21</f>
        <v>2024.04</v>
      </c>
      <c r="L21" s="11" t="n">
        <f aca="false">I21-H21</f>
        <v>0</v>
      </c>
      <c r="M21" s="13" t="n">
        <f aca="false">IF(J21&gt;0,I21/J21,"Undefined")</f>
        <v>1.0755812998233</v>
      </c>
      <c r="N21" s="13" t="n">
        <f aca="false">IF(H21&gt;0,I21/H21,"Undefined")</f>
        <v>1</v>
      </c>
      <c r="O21" s="9" t="str">
        <f aca="false">IF(AND(H21&lt;=0.005,I21&lt;=0.005,J21&lt;=0.005),"Not started",IF(OR(ISTEXT(M21),ISTEXT(N21)),"Insufficient data",IF(MIN(M21,N21)&lt;Settings!$B$3,"Critical",IF(MIN(M21,N21)&lt;Settings!$B$2,"Warning","Favourable"))))</f>
        <v>Favourable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8" min="7" style="0" width="12"/>
    <col collapsed="false" customWidth="true" hidden="false" outlineLevel="0" max="10" min="9" style="0" width="8"/>
    <col collapsed="false" customWidth="true" hidden="false" outlineLevel="0" max="13" min="11" style="0" width="9"/>
    <col collapsed="false" customWidth="true" hidden="false" outlineLevel="0" max="19" min="14" style="0" width="13"/>
    <col collapsed="false" customWidth="true" hidden="false" outlineLevel="0" max="22" min="20" style="0" width="12"/>
    <col collapsed="false" customWidth="true" hidden="false" outlineLevel="0" max="23" min="23" style="0" width="10"/>
    <col collapsed="false" customWidth="true" hidden="false" outlineLevel="0" max="27" min="24" style="0" width="9"/>
    <col collapsed="false" customWidth="true" hidden="false" outlineLevel="0" max="30" min="28" style="0" width="12"/>
    <col collapsed="false" customWidth="true" hidden="false" outlineLevel="0" max="31" min="31" style="0" width="14"/>
  </cols>
  <sheetData>
    <row r="1" customFormat="false" ht="31.5" hidden="false" customHeight="true" outlineLevel="0" collapsed="false">
      <c r="A1" s="4" t="s">
        <v>12</v>
      </c>
      <c r="B1" s="4" t="s">
        <v>28</v>
      </c>
      <c r="C1" s="4" t="s">
        <v>39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  <c r="AA1" s="4" t="s">
        <v>56</v>
      </c>
      <c r="AB1" s="4" t="s">
        <v>57</v>
      </c>
      <c r="AC1" s="4" t="s">
        <v>58</v>
      </c>
      <c r="AD1" s="4" t="s">
        <v>59</v>
      </c>
      <c r="AE1" s="4" t="s">
        <v>60</v>
      </c>
    </row>
    <row r="2" customFormat="false" ht="15" hidden="false" customHeight="false" outlineLevel="0" collapsed="false">
      <c r="A2" s="5" t="n">
        <v>1</v>
      </c>
      <c r="B2" s="10" t="n">
        <f aca="false">INDEX('Work package calculation'!$B$2:$B$21,MATCH(A2,'Work package calculation'!$A$2:$A$21,0))</f>
        <v>41578</v>
      </c>
      <c r="C2" s="11" t="n">
        <f aca="false">SUMIFS('Work package calculation'!$E$2:$E$21,'Work package calculation'!$A$2:$A$21,A2)</f>
        <v>214417.71</v>
      </c>
      <c r="D2" s="11" t="n">
        <f aca="false">SUMIFS('Work package calculation'!$H$2:$H$21,'Work package calculation'!$A$2:$A$21,A2)</f>
        <v>61225.573922</v>
      </c>
      <c r="E2" s="11" t="n">
        <f aca="false">SUMIFS('Work package calculation'!$I$2:$I$21,'Work package calculation'!$A$2:$A$21,A2)</f>
        <v>33297.09634</v>
      </c>
      <c r="F2" s="11" t="n">
        <f aca="false">SUMIFS('Work package calculation'!$J$2:$J$21,'Work package calculation'!$A$2:$A$21,A2)</f>
        <v>29324.18</v>
      </c>
      <c r="G2" s="11" t="n">
        <f aca="false">E2-F2</f>
        <v>3972.91634</v>
      </c>
      <c r="H2" s="11" t="n">
        <f aca="false">E2-D2</f>
        <v>-27928.477582</v>
      </c>
      <c r="I2" s="13" t="n">
        <f aca="false">IF(F2&gt;0,E2/F2,"Undefined")</f>
        <v>1.13548260650426</v>
      </c>
      <c r="J2" s="13" t="n">
        <f aca="false">IF(D2&gt;0,E2/D2,"Undefined")</f>
        <v>0.543842943512784</v>
      </c>
      <c r="K2" s="14" t="n">
        <f aca="false">D2/C2*100</f>
        <v>28.5543455911361</v>
      </c>
      <c r="L2" s="14" t="n">
        <f aca="false">E2/C2*100</f>
        <v>15.5290793563647</v>
      </c>
      <c r="M2" s="14" t="n">
        <f aca="false">F2/C2*100</f>
        <v>13.6761930719249</v>
      </c>
      <c r="N2" s="11" t="n">
        <f aca="false">IF(ISNUMBER(I2),IF(I2&gt;0,C2/I2,"Undefined"),"Undefined")</f>
        <v>188833.988976824</v>
      </c>
      <c r="O2" s="11" t="n">
        <f aca="false">IF(AND(ISNUMBER(I2),ISNUMBER(J2)),IF(I2*J2&gt;0,F2+(C2-E2)/(I2*J2),"Undefined"),"Undefined")</f>
        <v>322625.418674754</v>
      </c>
      <c r="P2" s="11" t="n">
        <f aca="false">F2+C2-E2</f>
        <v>210444.79366</v>
      </c>
      <c r="Q2" s="11" t="n">
        <f aca="false">IF(ISNUMBER(N2),N2-F2,N2)</f>
        <v>159509.808976824</v>
      </c>
      <c r="R2" s="11" t="n">
        <f aca="false">IF(ISNUMBER(O2),O2-F2,O2)</f>
        <v>293301.238674754</v>
      </c>
      <c r="S2" s="11" t="n">
        <f aca="false">IF(ISNUMBER(P2),P2-F2,P2)</f>
        <v>181120.61366</v>
      </c>
      <c r="T2" s="11" t="n">
        <f aca="false">IF(ISNUMBER(N2),C2-N2,N2)</f>
        <v>25583.7210231762</v>
      </c>
      <c r="U2" s="11" t="n">
        <f aca="false">IF(ISNUMBER(O2),C2-O2,O2)</f>
        <v>-108207.708674754</v>
      </c>
      <c r="V2" s="11" t="n">
        <f aca="false">IF(ISNUMBER(P2),C2-P2,P2)</f>
        <v>3972.91634000003</v>
      </c>
      <c r="W2" s="14" t="n">
        <f aca="false">IF(ISNUMBER(N2),(N2-C2)/C2*100,N2)</f>
        <v>-11.9317201098623</v>
      </c>
      <c r="X2" s="13" t="n">
        <f aca="false">IF(C2-E2&lt;0.000000001,"N/A",IF(C2-F2&lt;0.000000001,"Undefined",(C2-E2)/(C2-F2)))</f>
        <v>0.978535628230765</v>
      </c>
      <c r="Y2" s="13" t="n">
        <f aca="false">IF(C2-E2&lt;0.000000001,"N/A",IF(NOT(ISNUMBER(N2)),"Undefined",IF(N2-F2&lt;0.000000001,"Undefined",(C2-E2)/(N2-F2))))</f>
        <v>1.13548260650426</v>
      </c>
      <c r="Z2" s="13" t="n">
        <f aca="false">IF(C2-E2&lt;0.000000001,"N/A",IF(NOT(ISNUMBER(O2)),"Undefined",IF(O2-F2&lt;0.000000001,"Undefined",(C2-E2)/(O2-F2))))</f>
        <v>0.617524203028843</v>
      </c>
      <c r="AA2" s="13" t="n">
        <f aca="false">IF(C2-E2&lt;0.000000001,"N/A",IF(NOT(ISNUMBER(P2)),"Undefined",IF(P2-F2&lt;0.000000001,"Undefined",(C2-E2)/(P2-F2))))</f>
        <v>1</v>
      </c>
      <c r="AB2" s="9" t="str">
        <f aca="false">IF(ISNUMBER(I2),IF(I2&lt;Settings!$B$3,"Critical",IF(I2&lt;Settings!$B$2,"Warning","Favourable")),"Insufficient data")</f>
        <v>Favourable</v>
      </c>
      <c r="AC2" s="9" t="str">
        <f aca="false">IF(ISNUMBER(J2),IF(J2&lt;Settings!$B$3,"Critical",IF(J2&lt;Settings!$B$2,"Warning","Favourable")),"Insufficient data")</f>
        <v>Critical</v>
      </c>
      <c r="AD2" s="9" t="str">
        <f aca="false">IF(ISNUMBER(W2),IF(W2&gt;Settings!$B$5,"Critical",IF(W2&gt;Settings!$B$4,"Warning","Favourable")),"Insufficient data")</f>
        <v>Favourable</v>
      </c>
      <c r="AE2" s="9" t="str">
        <f aca="false">IF(OR(AB2="Critical",AC2="Critical",AD2="Critical"),"Critical",IF(OR(AB2="Insufficient data",AC2="Insufficient data",AD2="Insufficient data"),"Insufficient data",IF(OR(AB2="Warning",AC2="Warning",AD2="Warning"),"Warning","Favourable")))</f>
        <v>Critical</v>
      </c>
    </row>
    <row r="3" customFormat="false" ht="15" hidden="false" customHeight="false" outlineLevel="0" collapsed="false">
      <c r="A3" s="15" t="n">
        <v>2</v>
      </c>
      <c r="B3" s="16" t="n">
        <f aca="false">INDEX('Work package calculation'!$B$2:$B$21,MATCH(A3,'Work package calculation'!$A$2:$A$21,0))</f>
        <v>41608</v>
      </c>
      <c r="C3" s="17" t="n">
        <f aca="false">SUMIFS('Work package calculation'!$E$2:$E$21,'Work package calculation'!$A$2:$A$21,A3)</f>
        <v>214417.71</v>
      </c>
      <c r="D3" s="17" t="n">
        <f aca="false">SUMIFS('Work package calculation'!$H$2:$H$21,'Work package calculation'!$A$2:$A$21,A3)</f>
        <v>111762.84025</v>
      </c>
      <c r="E3" s="17" t="n">
        <f aca="false">SUMIFS('Work package calculation'!$I$2:$I$21,'Work package calculation'!$A$2:$A$21,A3)</f>
        <v>79787.407233</v>
      </c>
      <c r="F3" s="17" t="n">
        <f aca="false">SUMIFS('Work package calculation'!$J$2:$J$21,'Work package calculation'!$A$2:$A$21,A3)</f>
        <v>105692.27</v>
      </c>
      <c r="G3" s="17" t="n">
        <f aca="false">E3-F3</f>
        <v>-25904.862767</v>
      </c>
      <c r="H3" s="17" t="n">
        <f aca="false">E3-D3</f>
        <v>-31975.433017</v>
      </c>
      <c r="I3" s="18" t="n">
        <f aca="false">IF(F3&gt;0,E3/F3,"Undefined")</f>
        <v>0.754902957737591</v>
      </c>
      <c r="J3" s="18" t="n">
        <f aca="false">IF(D3&gt;0,E3/D3,"Undefined")</f>
        <v>0.713899244637352</v>
      </c>
      <c r="K3" s="19" t="n">
        <f aca="false">D3/C3*100</f>
        <v>52.1238848460792</v>
      </c>
      <c r="L3" s="19" t="n">
        <f aca="false">E3/C3*100</f>
        <v>37.2112020191802</v>
      </c>
      <c r="M3" s="19" t="n">
        <f aca="false">F3/C3*100</f>
        <v>49.2926960184399</v>
      </c>
      <c r="N3" s="17" t="n">
        <f aca="false">IF(ISNUMBER(I3),IF(I3&gt;0,C3/I3,"Undefined"),"Undefined")</f>
        <v>284033.474504591</v>
      </c>
      <c r="O3" s="17" t="n">
        <f aca="false">IF(AND(ISNUMBER(I3),ISNUMBER(J3)),IF(I3*J3&gt;0,F3+(C3-E3)/(I3*J3),"Undefined"),"Undefined")</f>
        <v>355505.11942413</v>
      </c>
      <c r="P3" s="17" t="n">
        <f aca="false">F3+C3-E3</f>
        <v>240322.572767</v>
      </c>
      <c r="Q3" s="17" t="n">
        <f aca="false">IF(ISNUMBER(N3),N3-F3,N3)</f>
        <v>178341.204504591</v>
      </c>
      <c r="R3" s="17" t="n">
        <f aca="false">IF(ISNUMBER(O3),O3-F3,O3)</f>
        <v>249812.84942413</v>
      </c>
      <c r="S3" s="17" t="n">
        <f aca="false">IF(ISNUMBER(P3),P3-F3,P3)</f>
        <v>134630.302767</v>
      </c>
      <c r="T3" s="17" t="n">
        <f aca="false">IF(ISNUMBER(N3),C3-N3,N3)</f>
        <v>-69615.7645045907</v>
      </c>
      <c r="U3" s="17" t="n">
        <f aca="false">IF(ISNUMBER(O3),C3-O3,O3)</f>
        <v>-141087.40942413</v>
      </c>
      <c r="V3" s="17" t="n">
        <f aca="false">IF(ISNUMBER(P3),C3-P3,P3)</f>
        <v>-25904.862767</v>
      </c>
      <c r="W3" s="19" t="n">
        <f aca="false">IF(ISNUMBER(N3),(N3-C3)/C3*100,N3)</f>
        <v>32.4673575259202</v>
      </c>
      <c r="X3" s="18" t="n">
        <f aca="false">IF(C3-E3&lt;0.000000001,"N/A",IF(C3-F3&lt;0.000000001,"Undefined",(C3-E3)/(C3-F3)))</f>
        <v>1.23825944293258</v>
      </c>
      <c r="Y3" s="18" t="n">
        <f aca="false">IF(C3-E3&lt;0.000000001,"N/A",IF(NOT(ISNUMBER(N3)),"Undefined",IF(N3-F3&lt;0.000000001,"Undefined",(C3-E3)/(N3-F3))))</f>
        <v>0.754902957737591</v>
      </c>
      <c r="Z3" s="18" t="n">
        <f aca="false">IF(C3-E3&lt;0.000000001,"N/A",IF(NOT(ISNUMBER(O3)),"Undefined",IF(O3-F3&lt;0.000000001,"Undefined",(C3-E3)/(O3-F3))))</f>
        <v>0.538924651303369</v>
      </c>
      <c r="AA3" s="18" t="n">
        <f aca="false">IF(C3-E3&lt;0.000000001,"N/A",IF(NOT(ISNUMBER(P3)),"Undefined",IF(P3-F3&lt;0.000000001,"Undefined",(C3-E3)/(P3-F3))))</f>
        <v>1</v>
      </c>
      <c r="AB3" s="20" t="str">
        <f aca="false">IF(ISNUMBER(I3),IF(I3&lt;Settings!$B$3,"Critical",IF(I3&lt;Settings!$B$2,"Warning","Favourable")),"Insufficient data")</f>
        <v>Critical</v>
      </c>
      <c r="AC3" s="20" t="str">
        <f aca="false">IF(ISNUMBER(J3),IF(J3&lt;Settings!$B$3,"Critical",IF(J3&lt;Settings!$B$2,"Warning","Favourable")),"Insufficient data")</f>
        <v>Critical</v>
      </c>
      <c r="AD3" s="20" t="str">
        <f aca="false">IF(ISNUMBER(W3),IF(W3&gt;Settings!$B$5,"Critical",IF(W3&gt;Settings!$B$4,"Warning","Favourable")),"Insufficient data")</f>
        <v>Critical</v>
      </c>
      <c r="AE3" s="20" t="str">
        <f aca="false">IF(OR(AB3="Critical",AC3="Critical",AD3="Critical"),"Critical",IF(OR(AB3="Insufficient data",AC3="Insufficient data",AD3="Insufficient data"),"Insufficient data",IF(OR(AB3="Warning",AC3="Warning",AD3="Warning"),"Warning","Favourable")))</f>
        <v>Critical</v>
      </c>
    </row>
    <row r="4" customFormat="false" ht="15" hidden="false" customHeight="false" outlineLevel="0" collapsed="false">
      <c r="A4" s="15" t="n">
        <v>3</v>
      </c>
      <c r="B4" s="16" t="n">
        <f aca="false">INDEX('Work package calculation'!$B$2:$B$21,MATCH(A4,'Work package calculation'!$A$2:$A$21,0))</f>
        <v>41639</v>
      </c>
      <c r="C4" s="17" t="n">
        <f aca="false">SUMIFS('Work package calculation'!$E$2:$E$21,'Work package calculation'!$A$2:$A$21,A4)</f>
        <v>214417.71</v>
      </c>
      <c r="D4" s="17" t="n">
        <f aca="false">SUMIFS('Work package calculation'!$H$2:$H$21,'Work package calculation'!$A$2:$A$21,A4)</f>
        <v>214417.71</v>
      </c>
      <c r="E4" s="17" t="n">
        <f aca="false">SUMIFS('Work package calculation'!$I$2:$I$21,'Work package calculation'!$A$2:$A$21,A4)</f>
        <v>111728.57082</v>
      </c>
      <c r="F4" s="17" t="n">
        <f aca="false">SUMIFS('Work package calculation'!$J$2:$J$21,'Work package calculation'!$A$2:$A$21,A4)</f>
        <v>156594.45</v>
      </c>
      <c r="G4" s="17" t="n">
        <f aca="false">E4-F4</f>
        <v>-44865.87918</v>
      </c>
      <c r="H4" s="17" t="n">
        <f aca="false">E4-D4</f>
        <v>-102689.13918</v>
      </c>
      <c r="I4" s="18" t="n">
        <f aca="false">IF(F4&gt;0,E4/F4,"Undefined")</f>
        <v>0.713489978859404</v>
      </c>
      <c r="J4" s="18" t="n">
        <f aca="false">IF(D4&gt;0,E4/D4,"Undefined")</f>
        <v>0.521079022903472</v>
      </c>
      <c r="K4" s="19" t="n">
        <f aca="false">D4/C4*100</f>
        <v>100</v>
      </c>
      <c r="L4" s="19" t="n">
        <f aca="false">E4/C4*100</f>
        <v>52.1079022903472</v>
      </c>
      <c r="M4" s="19" t="n">
        <f aca="false">F4/C4*100</f>
        <v>73.03242348778</v>
      </c>
      <c r="N4" s="17" t="n">
        <f aca="false">IF(ISNUMBER(I4),IF(I4&gt;0,C4/I4,"Undefined"),"Undefined")</f>
        <v>300519.581708452</v>
      </c>
      <c r="O4" s="17" t="n">
        <f aca="false">IF(AND(ISNUMBER(I4),ISNUMBER(J4)),IF(I4*J4&gt;0,F4+(C4-E4)/(I4*J4),"Undefined"),"Undefined")</f>
        <v>432800.409906993</v>
      </c>
      <c r="P4" s="17" t="n">
        <f aca="false">F4+C4-E4</f>
        <v>259283.58918</v>
      </c>
      <c r="Q4" s="17" t="n">
        <f aca="false">IF(ISNUMBER(N4),N4-F4,N4)</f>
        <v>143925.131708452</v>
      </c>
      <c r="R4" s="17" t="n">
        <f aca="false">IF(ISNUMBER(O4),O4-F4,O4)</f>
        <v>276205.959906993</v>
      </c>
      <c r="S4" s="17" t="n">
        <f aca="false">IF(ISNUMBER(P4),P4-F4,P4)</f>
        <v>102689.13918</v>
      </c>
      <c r="T4" s="17" t="n">
        <f aca="false">IF(ISNUMBER(N4),C4-N4,N4)</f>
        <v>-86101.8717084515</v>
      </c>
      <c r="U4" s="17" t="n">
        <f aca="false">IF(ISNUMBER(O4),C4-O4,O4)</f>
        <v>-218382.699906993</v>
      </c>
      <c r="V4" s="17" t="n">
        <f aca="false">IF(ISNUMBER(P4),C4-P4,P4)</f>
        <v>-44865.87918</v>
      </c>
      <c r="W4" s="19" t="n">
        <f aca="false">IF(ISNUMBER(N4),(N4-C4)/C4*100,N4)</f>
        <v>40.1561380860058</v>
      </c>
      <c r="X4" s="18" t="n">
        <f aca="false">IF(C4-E4&lt;0.000000001,"N/A",IF(C4-F4&lt;0.000000001,"Undefined",(C4-E4)/(C4-F4)))</f>
        <v>1.77591403839908</v>
      </c>
      <c r="Y4" s="18" t="n">
        <f aca="false">IF(C4-E4&lt;0.000000001,"N/A",IF(NOT(ISNUMBER(N4)),"Undefined",IF(N4-F4&lt;0.000000001,"Undefined",(C4-E4)/(N4-F4))))</f>
        <v>0.713489978859404</v>
      </c>
      <c r="Z4" s="18" t="n">
        <f aca="false">IF(C4-E4&lt;0.000000001,"N/A",IF(NOT(ISNUMBER(O4)),"Undefined",IF(O4-F4&lt;0.000000001,"Undefined",(C4-E4)/(O4-F4))))</f>
        <v>0.371784661035477</v>
      </c>
      <c r="AA4" s="18" t="n">
        <f aca="false">IF(C4-E4&lt;0.000000001,"N/A",IF(NOT(ISNUMBER(P4)),"Undefined",IF(P4-F4&lt;0.000000001,"Undefined",(C4-E4)/(P4-F4))))</f>
        <v>1</v>
      </c>
      <c r="AB4" s="20" t="str">
        <f aca="false">IF(ISNUMBER(I4),IF(I4&lt;Settings!$B$3,"Critical",IF(I4&lt;Settings!$B$2,"Warning","Favourable")),"Insufficient data")</f>
        <v>Critical</v>
      </c>
      <c r="AC4" s="20" t="str">
        <f aca="false">IF(ISNUMBER(J4),IF(J4&lt;Settings!$B$3,"Critical",IF(J4&lt;Settings!$B$2,"Warning","Favourable")),"Insufficient data")</f>
        <v>Critical</v>
      </c>
      <c r="AD4" s="20" t="str">
        <f aca="false">IF(ISNUMBER(W4),IF(W4&gt;Settings!$B$5,"Critical",IF(W4&gt;Settings!$B$4,"Warning","Favourable")),"Insufficient data")</f>
        <v>Critical</v>
      </c>
      <c r="AE4" s="20" t="str">
        <f aca="false">IF(OR(AB4="Critical",AC4="Critical",AD4="Critical"),"Critical",IF(OR(AB4="Insufficient data",AC4="Insufficient data",AD4="Insufficient data"),"Insufficient data",IF(OR(AB4="Warning",AC4="Warning",AD4="Warning"),"Warning","Favourable")))</f>
        <v>Critical</v>
      </c>
    </row>
    <row r="5" customFormat="false" ht="15" hidden="false" customHeight="false" outlineLevel="0" collapsed="false">
      <c r="A5" s="5" t="n">
        <v>4</v>
      </c>
      <c r="B5" s="10" t="n">
        <f aca="false">INDEX('Work package calculation'!$B$2:$B$21,MATCH(A5,'Work package calculation'!$A$2:$A$21,0))</f>
        <v>41670</v>
      </c>
      <c r="C5" s="11" t="n">
        <f aca="false">SUMIFS('Work package calculation'!$E$2:$E$21,'Work package calculation'!$A$2:$A$21,A5)</f>
        <v>214417.71</v>
      </c>
      <c r="D5" s="11" t="n">
        <f aca="false">SUMIFS('Work package calculation'!$H$2:$H$21,'Work package calculation'!$A$2:$A$21,A5)</f>
        <v>214417.71</v>
      </c>
      <c r="E5" s="11" t="n">
        <f aca="false">SUMIFS('Work package calculation'!$I$2:$I$21,'Work package calculation'!$A$2:$A$21,A5)</f>
        <v>190584.139532</v>
      </c>
      <c r="F5" s="11" t="n">
        <f aca="false">SUMIFS('Work package calculation'!$J$2:$J$21,'Work package calculation'!$A$2:$A$21,A5)</f>
        <v>194759.6</v>
      </c>
      <c r="G5" s="11" t="n">
        <f aca="false">E5-F5</f>
        <v>-4175.46046800001</v>
      </c>
      <c r="H5" s="11" t="n">
        <f aca="false">E5-D5</f>
        <v>-23833.570468</v>
      </c>
      <c r="I5" s="13" t="n">
        <f aca="false">IF(F5&gt;0,E5/F5,"Undefined")</f>
        <v>0.978560951716886</v>
      </c>
      <c r="J5" s="13" t="n">
        <f aca="false">IF(D5&gt;0,E5/D5,"Undefined")</f>
        <v>0.888845140319799</v>
      </c>
      <c r="K5" s="14" t="n">
        <f aca="false">D5/C5*100</f>
        <v>100</v>
      </c>
      <c r="L5" s="14" t="n">
        <f aca="false">E5/C5*100</f>
        <v>88.8845140319799</v>
      </c>
      <c r="M5" s="14" t="n">
        <f aca="false">F5/C5*100</f>
        <v>90.8318627225335</v>
      </c>
      <c r="N5" s="11" t="n">
        <f aca="false">IF(ISNUMBER(I5),IF(I5&gt;0,C5/I5,"Undefined"),"Undefined")</f>
        <v>219115.33423013</v>
      </c>
      <c r="O5" s="11" t="n">
        <f aca="false">IF(AND(ISNUMBER(I5),ISNUMBER(J5)),IF(I5*J5&gt;0,F5+(C5-E5)/(I5*J5),"Undefined"),"Undefined")</f>
        <v>222161.149634808</v>
      </c>
      <c r="P5" s="11" t="n">
        <f aca="false">F5+C5-E5</f>
        <v>218593.170468</v>
      </c>
      <c r="Q5" s="11" t="n">
        <f aca="false">IF(ISNUMBER(N5),N5-F5,N5)</f>
        <v>24355.7342301304</v>
      </c>
      <c r="R5" s="11" t="n">
        <f aca="false">IF(ISNUMBER(O5),O5-F5,O5)</f>
        <v>27401.5496348075</v>
      </c>
      <c r="S5" s="11" t="n">
        <f aca="false">IF(ISNUMBER(P5),P5-F5,P5)</f>
        <v>23833.570468</v>
      </c>
      <c r="T5" s="11" t="n">
        <f aca="false">IF(ISNUMBER(N5),C5-N5,N5)</f>
        <v>-4697.62423013046</v>
      </c>
      <c r="U5" s="11" t="n">
        <f aca="false">IF(ISNUMBER(O5),C5-O5,O5)</f>
        <v>-7743.43963480755</v>
      </c>
      <c r="V5" s="11" t="n">
        <f aca="false">IF(ISNUMBER(P5),C5-P5,P5)</f>
        <v>-4175.46046800001</v>
      </c>
      <c r="W5" s="14" t="n">
        <f aca="false">IF(ISNUMBER(N5),(N5-C5)/C5*100,N5)</f>
        <v>2.19087510548007</v>
      </c>
      <c r="X5" s="13" t="n">
        <f aca="false">IF(C5-E5&lt;0.000000001,"N/A",IF(C5-F5&lt;0.000000001,"Undefined",(C5-E5)/(C5-F5)))</f>
        <v>1.21240396294456</v>
      </c>
      <c r="Y5" s="13" t="n">
        <f aca="false">IF(C5-E5&lt;0.000000001,"N/A",IF(NOT(ISNUMBER(N5)),"Undefined",IF(N5-F5&lt;0.000000001,"Undefined",(C5-E5)/(N5-F5))))</f>
        <v>0.978560951716886</v>
      </c>
      <c r="Z5" s="13" t="n">
        <f aca="false">IF(C5-E5&lt;0.000000001,"N/A",IF(NOT(ISNUMBER(O5)),"Undefined",IF(O5-F5&lt;0.000000001,"Undefined",(C5-E5)/(O5-F5))))</f>
        <v>0.869789146440272</v>
      </c>
      <c r="AA5" s="13" t="n">
        <f aca="false">IF(C5-E5&lt;0.000000001,"N/A",IF(NOT(ISNUMBER(P5)),"Undefined",IF(P5-F5&lt;0.000000001,"Undefined",(C5-E5)/(P5-F5))))</f>
        <v>1</v>
      </c>
      <c r="AB5" s="9" t="str">
        <f aca="false">IF(ISNUMBER(I5),IF(I5&lt;Settings!$B$3,"Critical",IF(I5&lt;Settings!$B$2,"Warning","Favourable")),"Insufficient data")</f>
        <v>Warning</v>
      </c>
      <c r="AC5" s="9" t="str">
        <f aca="false">IF(ISNUMBER(J5),IF(J5&lt;Settings!$B$3,"Critical",IF(J5&lt;Settings!$B$2,"Warning","Favourable")),"Insufficient data")</f>
        <v>Critical</v>
      </c>
      <c r="AD5" s="9" t="str">
        <f aca="false">IF(ISNUMBER(W5),IF(W5&gt;Settings!$B$5,"Critical",IF(W5&gt;Settings!$B$4,"Warning","Favourable")),"Insufficient data")</f>
        <v>Warning</v>
      </c>
      <c r="AE5" s="9" t="str">
        <f aca="false">IF(OR(AB5="Critical",AC5="Critical",AD5="Critical"),"Critical",IF(OR(AB5="Insufficient data",AC5="Insufficient data",AD5="Insufficient data"),"Insufficient data",IF(OR(AB5="Warning",AC5="Warning",AD5="Warning"),"Warning","Favourable")))</f>
        <v>Critical</v>
      </c>
    </row>
    <row r="6" customFormat="false" ht="15" hidden="false" customHeight="false" outlineLevel="0" collapsed="false">
      <c r="A6" s="5" t="n">
        <v>5</v>
      </c>
      <c r="B6" s="10" t="n">
        <f aca="false">INDEX('Work package calculation'!$B$2:$B$21,MATCH(A6,'Work package calculation'!$A$2:$A$21,0))</f>
        <v>41698</v>
      </c>
      <c r="C6" s="11" t="n">
        <f aca="false">SUMIFS('Work package calculation'!$E$2:$E$21,'Work package calculation'!$A$2:$A$21,A6)</f>
        <v>214417.71</v>
      </c>
      <c r="D6" s="11" t="n">
        <f aca="false">SUMIFS('Work package calculation'!$H$2:$H$21,'Work package calculation'!$A$2:$A$21,A6)</f>
        <v>214417.71</v>
      </c>
      <c r="E6" s="11" t="n">
        <f aca="false">SUMIFS('Work package calculation'!$I$2:$I$21,'Work package calculation'!$A$2:$A$21,A6)</f>
        <v>214417.71</v>
      </c>
      <c r="F6" s="11" t="n">
        <f aca="false">SUMIFS('Work package calculation'!$J$2:$J$21,'Work package calculation'!$A$2:$A$21,A6)</f>
        <v>224789.67</v>
      </c>
      <c r="G6" s="11" t="n">
        <f aca="false">E6-F6</f>
        <v>-10371.96</v>
      </c>
      <c r="H6" s="11" t="n">
        <f aca="false">E6-D6</f>
        <v>0</v>
      </c>
      <c r="I6" s="13" t="n">
        <f aca="false">IF(F6&gt;0,E6/F6,"Undefined")</f>
        <v>0.953859267643393</v>
      </c>
      <c r="J6" s="13" t="n">
        <f aca="false">IF(D6&gt;0,E6/D6,"Undefined")</f>
        <v>1</v>
      </c>
      <c r="K6" s="14" t="n">
        <f aca="false">D6/C6*100</f>
        <v>100</v>
      </c>
      <c r="L6" s="14" t="n">
        <f aca="false">E6/C6*100</f>
        <v>100</v>
      </c>
      <c r="M6" s="14" t="n">
        <f aca="false">F6/C6*100</f>
        <v>104.837268339448</v>
      </c>
      <c r="N6" s="11" t="n">
        <f aca="false">IF(ISNUMBER(I6),IF(I6&gt;0,C6/I6,"Undefined"),"Undefined")</f>
        <v>224789.67</v>
      </c>
      <c r="O6" s="11" t="n">
        <f aca="false">IF(AND(ISNUMBER(I6),ISNUMBER(J6)),IF(I6*J6&gt;0,F6+(C6-E6)/(I6*J6),"Undefined"),"Undefined")</f>
        <v>224789.67</v>
      </c>
      <c r="P6" s="11" t="n">
        <f aca="false">F6+C6-E6</f>
        <v>224789.67</v>
      </c>
      <c r="Q6" s="11" t="n">
        <f aca="false">IF(ISNUMBER(N6),N6-F6,N6)</f>
        <v>0</v>
      </c>
      <c r="R6" s="11" t="n">
        <f aca="false">IF(ISNUMBER(O6),O6-F6,O6)</f>
        <v>0</v>
      </c>
      <c r="S6" s="11" t="n">
        <f aca="false">IF(ISNUMBER(P6),P6-F6,P6)</f>
        <v>0</v>
      </c>
      <c r="T6" s="11" t="n">
        <f aca="false">IF(ISNUMBER(N6),C6-N6,N6)</f>
        <v>-10371.96</v>
      </c>
      <c r="U6" s="11" t="n">
        <f aca="false">IF(ISNUMBER(O6),C6-O6,O6)</f>
        <v>-10371.96</v>
      </c>
      <c r="V6" s="11" t="n">
        <f aca="false">IF(ISNUMBER(P6),C6-P6,P6)</f>
        <v>-10371.96</v>
      </c>
      <c r="W6" s="14" t="n">
        <f aca="false">IF(ISNUMBER(N6),(N6-C6)/C6*100,N6)</f>
        <v>4.83726833944826</v>
      </c>
      <c r="X6" s="13" t="str">
        <f aca="false">IF(C6-E6&lt;0.000000001,"N/A",IF(C6-F6&lt;0.000000001,"Undefined",(C6-E6)/(C6-F6)))</f>
        <v>N/A</v>
      </c>
      <c r="Y6" s="13" t="str">
        <f aca="false">IF(C6-E6&lt;0.000000001,"N/A",IF(NOT(ISNUMBER(N6)),"Undefined",IF(N6-F6&lt;0.000000001,"Undefined",(C6-E6)/(N6-F6))))</f>
        <v>N/A</v>
      </c>
      <c r="Z6" s="13" t="str">
        <f aca="false">IF(C6-E6&lt;0.000000001,"N/A",IF(NOT(ISNUMBER(O6)),"Undefined",IF(O6-F6&lt;0.000000001,"Undefined",(C6-E6)/(O6-F6))))</f>
        <v>N/A</v>
      </c>
      <c r="AA6" s="13" t="str">
        <f aca="false">IF(C6-E6&lt;0.000000001,"N/A",IF(NOT(ISNUMBER(P6)),"Undefined",IF(P6-F6&lt;0.000000001,"Undefined",(C6-E6)/(P6-F6))))</f>
        <v>N/A</v>
      </c>
      <c r="AB6" s="9" t="str">
        <f aca="false">IF(ISNUMBER(I6),IF(I6&lt;Settings!$B$3,"Critical",IF(I6&lt;Settings!$B$2,"Warning","Favourable")),"Insufficient data")</f>
        <v>Warning</v>
      </c>
      <c r="AC6" s="9" t="str">
        <f aca="false">IF(ISNUMBER(J6),IF(J6&lt;Settings!$B$3,"Critical",IF(J6&lt;Settings!$B$2,"Warning","Favourable")),"Insufficient data")</f>
        <v>Favourable</v>
      </c>
      <c r="AD6" s="9" t="str">
        <f aca="false">IF(ISNUMBER(W6),IF(W6&gt;Settings!$B$5,"Critical",IF(W6&gt;Settings!$B$4,"Warning","Favourable")),"Insufficient data")</f>
        <v>Warning</v>
      </c>
      <c r="AE6" s="9" t="str">
        <f aca="false">IF(OR(AB6="Critical",AC6="Critical",AD6="Critical"),"Critical",IF(OR(AB6="Insufficient data",AC6="Insufficient data",AD6="Insufficient data"),"Insufficient data",IF(OR(AB6="Warning",AC6="Warning",AD6="Warning"),"Warning","Favourable")))</f>
        <v>Warning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6" min="4" style="0" width="14"/>
    <col collapsed="false" customWidth="true" hidden="false" outlineLevel="0" max="7" min="7" style="0" width="15"/>
    <col collapsed="false" customWidth="true" hidden="false" outlineLevel="0" max="10" min="8" style="0" width="10"/>
  </cols>
  <sheetData>
    <row r="1" customFormat="false" ht="31.5" hidden="false" customHeight="true" outlineLevel="0" collapsed="false">
      <c r="A1" s="4" t="s">
        <v>12</v>
      </c>
      <c r="B1" s="4" t="s">
        <v>28</v>
      </c>
      <c r="C1" s="4" t="s">
        <v>41</v>
      </c>
      <c r="D1" s="4" t="s">
        <v>43</v>
      </c>
      <c r="E1" s="4" t="s">
        <v>44</v>
      </c>
      <c r="F1" s="4" t="s">
        <v>45</v>
      </c>
      <c r="G1" s="4" t="s">
        <v>61</v>
      </c>
      <c r="H1" s="4" t="s">
        <v>62</v>
      </c>
      <c r="I1" s="4" t="s">
        <v>63</v>
      </c>
      <c r="J1" s="4" t="s">
        <v>64</v>
      </c>
    </row>
    <row r="2" customFormat="false" ht="15" hidden="false" customHeight="false" outlineLevel="0" collapsed="false">
      <c r="A2" s="9" t="n">
        <f aca="false">'Project calculation'!A2</f>
        <v>1</v>
      </c>
      <c r="B2" s="10" t="n">
        <f aca="false">'Project calculation'!B2</f>
        <v>41578</v>
      </c>
      <c r="C2" s="14" t="n">
        <f aca="false">'Project calculation'!L2</f>
        <v>15.5290793563647</v>
      </c>
      <c r="D2" s="11" t="n">
        <f aca="false">'Project calculation'!N2</f>
        <v>188833.988976824</v>
      </c>
      <c r="E2" s="11" t="n">
        <f aca="false">'Project calculation'!O2</f>
        <v>322625.418674754</v>
      </c>
      <c r="F2" s="11" t="n">
        <f aca="false">'Project calculation'!P2</f>
        <v>210444.79366</v>
      </c>
      <c r="G2" s="11" t="n">
        <f aca="false">Settings!$B$6</f>
        <v>224789.67</v>
      </c>
      <c r="H2" s="21" t="n">
        <f aca="false">IF(ISNUMBER(D2),D2/G2-1,D2)</f>
        <v>-0.159952550413799</v>
      </c>
      <c r="I2" s="21" t="n">
        <f aca="false">IF(ISNUMBER(E2),E2/G2-1,E2)</f>
        <v>0.435232404917691</v>
      </c>
      <c r="J2" s="21" t="n">
        <f aca="false">IF(ISNUMBER(F2),F2/G2-1,F2)</f>
        <v>-0.0638146598996298</v>
      </c>
    </row>
    <row r="3" customFormat="false" ht="15" hidden="false" customHeight="false" outlineLevel="0" collapsed="false">
      <c r="A3" s="9" t="n">
        <f aca="false">'Project calculation'!A3</f>
        <v>2</v>
      </c>
      <c r="B3" s="10" t="n">
        <f aca="false">'Project calculation'!B3</f>
        <v>41608</v>
      </c>
      <c r="C3" s="14" t="n">
        <f aca="false">'Project calculation'!L3</f>
        <v>37.2112020191802</v>
      </c>
      <c r="D3" s="11" t="n">
        <f aca="false">'Project calculation'!N3</f>
        <v>284033.474504591</v>
      </c>
      <c r="E3" s="11" t="n">
        <f aca="false">'Project calculation'!O3</f>
        <v>355505.11942413</v>
      </c>
      <c r="F3" s="11" t="n">
        <f aca="false">'Project calculation'!P3</f>
        <v>240322.572767</v>
      </c>
      <c r="G3" s="11" t="n">
        <f aca="false">Settings!$B$6</f>
        <v>224789.67</v>
      </c>
      <c r="H3" s="21" t="n">
        <f aca="false">IF(ISNUMBER(D3),D3/G3-1,D3)</f>
        <v>0.263552166363297</v>
      </c>
      <c r="I3" s="21" t="n">
        <f aca="false">IF(ISNUMBER(E3),E3/G3-1,E3)</f>
        <v>0.581501140262049</v>
      </c>
      <c r="J3" s="21" t="n">
        <f aca="false">IF(ISNUMBER(F3),F3/G3-1,F3)</f>
        <v>0.0690997178251118</v>
      </c>
    </row>
    <row r="4" customFormat="false" ht="15" hidden="false" customHeight="false" outlineLevel="0" collapsed="false">
      <c r="A4" s="9" t="n">
        <f aca="false">'Project calculation'!A4</f>
        <v>3</v>
      </c>
      <c r="B4" s="10" t="n">
        <f aca="false">'Project calculation'!B4</f>
        <v>41639</v>
      </c>
      <c r="C4" s="14" t="n">
        <f aca="false">'Project calculation'!L4</f>
        <v>52.1079022903472</v>
      </c>
      <c r="D4" s="11" t="n">
        <f aca="false">'Project calculation'!N4</f>
        <v>300519.581708452</v>
      </c>
      <c r="E4" s="11" t="n">
        <f aca="false">'Project calculation'!O4</f>
        <v>432800.409906993</v>
      </c>
      <c r="F4" s="11" t="n">
        <f aca="false">'Project calculation'!P4</f>
        <v>259283.58918</v>
      </c>
      <c r="G4" s="11" t="n">
        <f aca="false">Settings!$B$6</f>
        <v>224789.67</v>
      </c>
      <c r="H4" s="21" t="n">
        <f aca="false">IF(ISNUMBER(D4),D4/G4-1,D4)</f>
        <v>0.336892312304438</v>
      </c>
      <c r="I4" s="21" t="n">
        <f aca="false">IF(ISNUMBER(E4),E4/G4-1,E4)</f>
        <v>0.925357201276167</v>
      </c>
      <c r="J4" s="21" t="n">
        <f aca="false">IF(ISNUMBER(F4),F4/G4-1,F4)</f>
        <v>0.153449752295112</v>
      </c>
    </row>
    <row r="5" customFormat="false" ht="15" hidden="false" customHeight="false" outlineLevel="0" collapsed="false">
      <c r="A5" s="9" t="n">
        <f aca="false">'Project calculation'!A5</f>
        <v>4</v>
      </c>
      <c r="B5" s="10" t="n">
        <f aca="false">'Project calculation'!B5</f>
        <v>41670</v>
      </c>
      <c r="C5" s="14" t="n">
        <f aca="false">'Project calculation'!L5</f>
        <v>88.8845140319799</v>
      </c>
      <c r="D5" s="11" t="n">
        <f aca="false">'Project calculation'!N5</f>
        <v>219115.33423013</v>
      </c>
      <c r="E5" s="11" t="n">
        <f aca="false">'Project calculation'!O5</f>
        <v>222161.149634808</v>
      </c>
      <c r="F5" s="11" t="n">
        <f aca="false">'Project calculation'!P5</f>
        <v>218593.170468</v>
      </c>
      <c r="G5" s="11" t="n">
        <f aca="false">Settings!$B$6</f>
        <v>224789.67</v>
      </c>
      <c r="H5" s="21" t="n">
        <f aca="false">IF(ISNUMBER(D5),D5/G5-1,D5)</f>
        <v>-0.0252428671204933</v>
      </c>
      <c r="I5" s="21" t="n">
        <f aca="false">IF(ISNUMBER(E5),E5/G5-1,E5)</f>
        <v>-0.0116932435782856</v>
      </c>
      <c r="J5" s="21" t="n">
        <f aca="false">IF(ISNUMBER(F5),F5/G5-1,F5)</f>
        <v>-0.0275657663984292</v>
      </c>
    </row>
    <row r="6" customFormat="false" ht="15" hidden="false" customHeight="false" outlineLevel="0" collapsed="false">
      <c r="A6" s="9" t="n">
        <f aca="false">'Project calculation'!A6</f>
        <v>5</v>
      </c>
      <c r="B6" s="10" t="n">
        <f aca="false">'Project calculation'!B6</f>
        <v>41698</v>
      </c>
      <c r="C6" s="14" t="n">
        <f aca="false">'Project calculation'!L6</f>
        <v>100</v>
      </c>
      <c r="D6" s="11" t="n">
        <f aca="false">'Project calculation'!N6</f>
        <v>224789.67</v>
      </c>
      <c r="E6" s="11" t="n">
        <f aca="false">'Project calculation'!O6</f>
        <v>224789.67</v>
      </c>
      <c r="F6" s="11" t="n">
        <f aca="false">'Project calculation'!P6</f>
        <v>224789.67</v>
      </c>
      <c r="G6" s="11" t="n">
        <f aca="false">Settings!$B$6</f>
        <v>224789.67</v>
      </c>
      <c r="H6" s="21" t="n">
        <f aca="false">IF(ISNUMBER(D6),D6/G6-1,D6)</f>
        <v>0</v>
      </c>
      <c r="I6" s="21" t="n">
        <f aca="false">IF(ISNUMBER(E6),E6/G6-1,E6)</f>
        <v>0</v>
      </c>
      <c r="J6" s="21" t="n">
        <f aca="false">IF(ISNUMBER(F6),F6/G6-1,F6)</f>
        <v>0</v>
      </c>
    </row>
    <row r="8" customFormat="false" ht="15" hidden="false" customHeight="false" outlineLevel="0" collapsed="false">
      <c r="A8" s="2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10"/>
  </cols>
  <sheetData>
    <row r="1" customFormat="false" ht="31.5" hidden="false" customHeight="true" outlineLevel="0" collapsed="false">
      <c r="A1" s="4" t="s">
        <v>66</v>
      </c>
      <c r="B1" s="4" t="s">
        <v>67</v>
      </c>
      <c r="C1" s="4" t="s">
        <v>68</v>
      </c>
    </row>
    <row r="2" customFormat="false" ht="23.85" hidden="false" customHeight="false" outlineLevel="0" collapsed="false">
      <c r="A2" s="2" t="s">
        <v>69</v>
      </c>
      <c r="B2" s="2" t="s">
        <v>70</v>
      </c>
      <c r="C2" s="2" t="s">
        <v>71</v>
      </c>
    </row>
    <row r="3" customFormat="false" ht="15" hidden="false" customHeight="false" outlineLevel="0" collapsed="false">
      <c r="A3" s="2" t="s">
        <v>72</v>
      </c>
      <c r="B3" s="2" t="s">
        <v>73</v>
      </c>
      <c r="C3" s="2" t="s">
        <v>74</v>
      </c>
    </row>
    <row r="4" customFormat="false" ht="23.85" hidden="false" customHeight="false" outlineLevel="0" collapsed="false">
      <c r="A4" s="2" t="s">
        <v>75</v>
      </c>
      <c r="B4" s="2" t="s">
        <v>76</v>
      </c>
      <c r="C4" s="2" t="s">
        <v>77</v>
      </c>
    </row>
    <row r="5" customFormat="false" ht="15" hidden="false" customHeight="false" outlineLevel="0" collapsed="false">
      <c r="A5" s="2" t="s">
        <v>78</v>
      </c>
      <c r="B5" s="2" t="s">
        <v>79</v>
      </c>
      <c r="C5" s="2" t="s">
        <v>80</v>
      </c>
    </row>
    <row r="6" customFormat="false" ht="23.85" hidden="false" customHeight="false" outlineLevel="0" collapsed="false">
      <c r="A6" s="2" t="s">
        <v>81</v>
      </c>
      <c r="B6" s="2" t="s">
        <v>82</v>
      </c>
      <c r="C6" s="2" t="s">
        <v>83</v>
      </c>
    </row>
    <row r="7" customFormat="false" ht="15" hidden="false" customHeight="false" outlineLevel="0" collapsed="false">
      <c r="A7" s="2" t="s">
        <v>84</v>
      </c>
      <c r="B7" s="2" t="s">
        <v>85</v>
      </c>
      <c r="C7" s="2" t="s">
        <v>86</v>
      </c>
    </row>
    <row r="8" customFormat="false" ht="15" hidden="false" customHeight="false" outlineLevel="0" collapsed="false">
      <c r="A8" s="2" t="s">
        <v>87</v>
      </c>
      <c r="B8" s="2" t="s">
        <v>88</v>
      </c>
      <c r="C8" s="2" t="s">
        <v>89</v>
      </c>
    </row>
    <row r="9" customFormat="false" ht="15" hidden="false" customHeight="false" outlineLevel="0" collapsed="false">
      <c r="A9" s="2" t="s">
        <v>90</v>
      </c>
      <c r="B9" s="2" t="s">
        <v>88</v>
      </c>
      <c r="C9" s="2" t="s">
        <v>91</v>
      </c>
    </row>
    <row r="10" customFormat="false" ht="23.85" hidden="false" customHeight="false" outlineLevel="0" collapsed="false">
      <c r="A10" s="2" t="s">
        <v>92</v>
      </c>
      <c r="B10" s="2" t="s">
        <v>93</v>
      </c>
      <c r="C10" s="2" t="s">
        <v>94</v>
      </c>
    </row>
    <row r="11" customFormat="false" ht="15" hidden="false" customHeight="false" outlineLevel="0" collapsed="false">
      <c r="A11" s="2" t="s">
        <v>95</v>
      </c>
      <c r="B11" s="2" t="s">
        <v>85</v>
      </c>
      <c r="C11" s="2" t="s">
        <v>96</v>
      </c>
    </row>
    <row r="12" customFormat="false" ht="15" hidden="false" customHeight="false" outlineLevel="0" collapsed="false">
      <c r="A12" s="2" t="s">
        <v>97</v>
      </c>
      <c r="B12" s="2" t="s">
        <v>85</v>
      </c>
      <c r="C12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3" t="s">
        <v>99</v>
      </c>
      <c r="B1" s="23" t="s">
        <v>100</v>
      </c>
      <c r="C1" s="23" t="s">
        <v>101</v>
      </c>
    </row>
    <row r="2" customFormat="false" ht="15" hidden="false" customHeight="false" outlineLevel="0" collapsed="false">
      <c r="A2" s="9" t="s">
        <v>102</v>
      </c>
      <c r="B2" s="5" t="n">
        <v>1</v>
      </c>
      <c r="C2" s="9" t="s">
        <v>103</v>
      </c>
    </row>
    <row r="3" customFormat="false" ht="15" hidden="false" customHeight="false" outlineLevel="0" collapsed="false">
      <c r="A3" s="9" t="s">
        <v>104</v>
      </c>
      <c r="B3" s="5" t="n">
        <v>0.9</v>
      </c>
      <c r="C3" s="9" t="s">
        <v>105</v>
      </c>
    </row>
    <row r="4" customFormat="false" ht="15" hidden="false" customHeight="false" outlineLevel="0" collapsed="false">
      <c r="A4" s="9" t="s">
        <v>106</v>
      </c>
      <c r="B4" s="5" t="n">
        <v>0</v>
      </c>
      <c r="C4" s="9" t="s">
        <v>105</v>
      </c>
    </row>
    <row r="5" customFormat="false" ht="15" hidden="false" customHeight="false" outlineLevel="0" collapsed="false">
      <c r="A5" s="9" t="s">
        <v>107</v>
      </c>
      <c r="B5" s="5" t="n">
        <v>10</v>
      </c>
      <c r="C5" s="9" t="s">
        <v>105</v>
      </c>
    </row>
    <row r="6" customFormat="false" ht="15" hidden="false" customHeight="false" outlineLevel="0" collapsed="false">
      <c r="A6" s="9" t="s">
        <v>108</v>
      </c>
      <c r="B6" s="11" t="n">
        <f aca="false">'Project calculation'!F6</f>
        <v>224789.67</v>
      </c>
      <c r="C6" s="9" t="s">
        <v>109</v>
      </c>
    </row>
    <row r="7" customFormat="false" ht="15" hidden="false" customHeight="false" outlineLevel="0" collapsed="false">
      <c r="A7" s="9" t="s">
        <v>110</v>
      </c>
      <c r="B7" s="5"/>
      <c r="C7" s="9" t="s">
        <v>111</v>
      </c>
    </row>
    <row r="8" customFormat="false" ht="15" hidden="false" customHeight="false" outlineLevel="0" collapsed="false">
      <c r="A8" s="9" t="s">
        <v>112</v>
      </c>
      <c r="B8" s="11" t="str">
        <f aca="false">IF(ISNUMBER(B7),'Project calculation'!F4+B7,"Enter an ETC in B7")</f>
        <v>Enter an ETC in B7</v>
      </c>
      <c r="C8" s="9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2026-10-29T16:47:52Z</dcterms:created>
  <dc:creator>openpyxl</dc:creator>
  <dc:description/>
  <dc:language>en-US</dc:language>
  <cp:lastModifiedBy/>
  <dcterms:modified xsi:type="dcterms:W3CDTF">2026-10-29T16:47:52Z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