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usage log" sheetId="1" state="visible" r:id="rId3"/>
    <sheet name="Summary" sheetId="2" state="visible" r:id="rId4"/>
  </sheets>
  <definedNames>
    <definedName function="false" hidden="false" localSheetId="0" name="_xlnm.Print_Titles" vbProcedure="false">'AI usage log'!$4:$4</definedName>
    <definedName function="false" hidden="true" localSheetId="0" name="_xlnm._FilterDatabase" vbProcedure="false">'AI usage log'!$A$4:$H$42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<sst xmlns="http://schemas.openxmlformats.org/spreadsheetml/2006/main" count="280" uniqueCount="150">
  <si>
    <t xml:space="preserve">AI Usage Log — CE 725 Topic 7: EVM Dashboard (format: course guidelines, Annexure A)</t>
  </si>
  <si>
    <t xml:space="preserve">Entries 1–37 record the AI-assisted build session (Claude, Anthropic). Each decision must be confirmed by the team (last column). The final row is for genuine team entries (other AI use); add rows as needed. Source file: reports/ai_usage_log.csv.</t>
  </si>
  <si>
    <t xml:space="preserve">No.</t>
  </si>
  <si>
    <t xml:space="preserve">Date</t>
  </si>
  <si>
    <t xml:space="preserve">Tool</t>
  </si>
  <si>
    <t xml:space="preserve">Purpose / Prompt Summary</t>
  </si>
  <si>
    <t xml:space="preserve">Output Summary</t>
  </si>
  <si>
    <t xml:space="preserve">Decision (Accept / Modify / Reject)</t>
  </si>
  <si>
    <t xml:space="preserve">Reason and Verification</t>
  </si>
  <si>
    <t xml:space="preserve">Needs team confirmation</t>
  </si>
  <si>
    <t xml:space="preserve">2026-10-21</t>
  </si>
  <si>
    <t xml:space="preserve">Claude (Anthropic), Opus 5.5, claude.ai agentic session</t>
  </si>
  <si>
    <t xml:space="preserve">Requirements analysis: read course PDF + charter; list mandatory deliverables; build requirements traceability matrix</t>
  </si>
  <si>
    <t xml:space="preserve">RTM with 27 requirements (A = professor, B = assumption, C = enhancement); flagged spelling conflict Andhare/Bhadare and missing team number</t>
  </si>
  <si>
    <t xml:space="preserve">Accept (pending team review)</t>
  </si>
  <si>
    <t xml:space="preserve">Each RTM row cross-checked against the PDF section cited. Name conflict left for team to resolve.</t>
  </si>
  <si>
    <t xml:space="preserve">YES — team to confirm decision</t>
  </si>
  <si>
    <t xml:space="preserve">Design the EVM calculation approach and data model</t>
  </si>
  <si>
    <t xml:space="preserve">Metric type carrying value + status (ok/review/undefined/not applicable) so undefined indices are never shown as 0; separate engine, forecasting, validation, UI</t>
  </si>
  <si>
    <t xml:space="preserve">Accept</t>
  </si>
  <si>
    <t xml:space="preserve">Unit tests for AC = 0, PV = 0, EV = 0 confirm undefined values are not numbers (test_evm_calculations.py).</t>
  </si>
  <si>
    <t xml:space="preserve">Design benchmark case and solve two periods by hand</t>
  </si>
  <si>
    <t xml:space="preserve">4-WP G+4 residential block, BAC Rs 4 crore, P1 31-Jan-2026, P2 28-Feb-2026, intermediate working for all metrics</t>
  </si>
  <si>
    <t xml:space="preserve">Accept (pending team paper check)</t>
  </si>
  <si>
    <t xml:space="preserve">Paper working agreed with exact-fraction script and plain-formula workbook. Team must still redo on paper (validation report s.15).</t>
  </si>
  <si>
    <t xml:space="preserve">Independent cross-check script for benchmark (exact fractions, no app imports)</t>
  </si>
  <si>
    <t xml:space="preserve">benchmark/independent_benchmark_calc.py -&gt; benchmark_expected.csv (54 values)</t>
  </si>
  <si>
    <t xml:space="preserve">Output identical to hand values, e.g. P1 EAC(B) = 46,906,445.3125. Test enforces no app imports.</t>
  </si>
  <si>
    <t xml:space="preserve">Plain-formula spreadsheet benchmark</t>
  </si>
  <si>
    <t xml:space="preserve">benchmark_workbook.xlsx with 73 formulas, zero-denominator guards</t>
  </si>
  <si>
    <t xml:space="preserve">Recalculated in LibreOffice: 0 formula errors; values match hand calculation.</t>
  </si>
  <si>
    <t xml:space="preserve">Generate synthetic demo and benchmark datasets</t>
  </si>
  <si>
    <t xml:space="preserve">9-month, 6-WP G+7 commercial building (BAC Rs 12 crore) in three formats + Excel; benchmark CSV</t>
  </si>
  <si>
    <t xml:space="preserve">Accept (labelled SYNTHETIC)</t>
  </si>
  <si>
    <t xml:space="preserve">All four files load with no errors; three formats give same results within Rs 0.40.</t>
  </si>
  <si>
    <t xml:space="preserve">Write forecasting module (EAC methods A-D, ETC, VAC, overrun, TCPI to BAC and to EAC)</t>
  </si>
  <si>
    <t xml:space="preserve">src/forecasting.py with denominator checks and review flags</t>
  </si>
  <si>
    <t xml:space="preserve">Hand-worked tests (BAC 1000, EV 400, AC 500) for every method; TCPI identities (TCPI_EAC(A) = CPI etc.) tested.</t>
  </si>
  <si>
    <t xml:space="preserve">Write input validation and data processing for 3 input modes</t>
  </si>
  <si>
    <t xml:space="preserve">src/validation.py, src/data_processing.py: blocking errors vs warnings, column mapping, no silent repair</t>
  </si>
  <si>
    <t xml:space="preserve">36 input-pipeline tests (tests/test_data_validation.py) incl. missing values, negatives, ranges, duplicates, cumulative/period conflicts.</t>
  </si>
  <si>
    <t xml:space="preserve">Design question: should MS Project '% Complete' auto-map to physical progress?</t>
  </si>
  <si>
    <t xml:space="preserve">AI excluded it from automatic mapping because it is duration-based, not physical</t>
  </si>
  <si>
    <t xml:space="preserve">Test test_unknown_and_duration_percent_columns_not_interpreted. Team should verify the claim about MS Project in its documentation.</t>
  </si>
  <si>
    <t xml:space="preserve">Write automated test suite</t>
  </si>
  <si>
    <t xml:space="preserve">71 tests on first run: 70 passed, 1 failed</t>
  </si>
  <si>
    <t xml:space="preserve">Modify</t>
  </si>
  <si>
    <t xml:space="preserve">Failure was a defect in the AI's own test (text search matched a docstring). Rewritten to inspect import statements; 71/71 passed. (Defect D1)</t>
  </si>
  <si>
    <t xml:space="preserve">Check that tests can detect errors (mutation testing)</t>
  </si>
  <si>
    <t xml:space="preserve">7 typical formula errors injected one at a time into a temporary copy</t>
  </si>
  <si>
    <t xml:space="preserve">All 7 detected (1-8 failing tests each). Recorded in validation report s.12.</t>
  </si>
  <si>
    <t xml:space="preserve">Build Streamlit dashboard (5 tabs, upload, manual entry, exports)</t>
  </si>
  <si>
    <t xml:space="preserve">app.py + src/charts.py, src/formatting.py, src/commentary.py</t>
  </si>
  <si>
    <t xml:space="preserve">Accept after fixes (see next entries)</t>
  </si>
  <si>
    <t xml:space="preserve">AppTest: app runs with no exceptions; KPI values match pipeline output.</t>
  </si>
  <si>
    <t xml:space="preserve">Real-browser test of upload workflow</t>
  </si>
  <si>
    <t xml:space="preserve">Found: project name from a rejected upload carried over to the next valid upload</t>
  </si>
  <si>
    <t xml:space="preserve">Root cause: widget state shared between files. Keyed widgets per file; browser retest shows file's own name. (Defect D2)</t>
  </si>
  <si>
    <t xml:space="preserve">Review screenshots of the dashboard</t>
  </si>
  <si>
    <t xml:space="preserve">Found clipped header, truncated KPI labels, overlapping chart labels, axis cutting off 1.00 line, dates shown with 00:00:00</t>
  </si>
  <si>
    <t xml:space="preserve">Layout corrected; screenshots regenerated and re-inspected. (Defect D6)</t>
  </si>
  <si>
    <t xml:space="preserve">Review validation messages for a faulty file</t>
  </si>
  <si>
    <t xml:space="preserve">Found duplicate error for one cell and an internal field name in a warning</t>
  </si>
  <si>
    <t xml:space="preserve">Fixed; faulty upload now shows 5 distinct errors with user column names. (Defects D3, D4)</t>
  </si>
  <si>
    <t xml:space="preserve">Rule-based monthly commentary and health screening</t>
  </si>
  <si>
    <t xml:space="preserve">Commentary separates facts / changes / forecast / investigations / caveats; never asserts causes; thresholds configurable</t>
  </si>
  <si>
    <t xml:space="preserve">Accept (thresholds need team approval)</t>
  </si>
  <si>
    <t xml:space="preserve">Output read against the numbers for the demo project; e.g. CPI fell 5 consecutive reports verified from data. Thresholds 1.00/0.90, 0%/10% are team assumptions.</t>
  </si>
  <si>
    <t xml:space="preserve">Automate a cell edit in the manual-entry table in the browser</t>
  </si>
  <si>
    <t xml:space="preserve">Three scripted attempts did not register in the canvas grid</t>
  </si>
  <si>
    <t xml:space="preserve">Reject (automation approach)</t>
  </si>
  <si>
    <t xml:space="preserve">Not claimed as verified. Team to check by hand (validation report s.11).</t>
  </si>
  <si>
    <t xml:space="preserve">Investigate precision of percentage-based input</t>
  </si>
  <si>
    <t xml:space="preserve">Found Rs 0.40 EV difference caused by % stored to 6 decimals</t>
  </si>
  <si>
    <t xml:space="preserve">Accept as documented limitation</t>
  </si>
  <si>
    <t xml:space="preserve">Recomputed from WP data; listed in assumptions_and_limitations.md.</t>
  </si>
  <si>
    <t xml:space="preserve">Check compatibility with older library versions</t>
  </si>
  <si>
    <t xml:space="preserve">Clean environment with pandas 2.2.3, Streamlit 1.50, Plotly 5.24</t>
  </si>
  <si>
    <t xml:space="preserve">79 tests passed; requirements.txt states both tested combinations.</t>
  </si>
  <si>
    <t xml:space="preserve">Draft user manual</t>
  </si>
  <si>
    <t xml:space="preserve">First draft rendered to 8 pages</t>
  </si>
  <si>
    <t xml:space="preserve">Screenshots cropped and layout tightened; rendered PDF is 5 pages (course limit 3-5).</t>
  </si>
  <si>
    <t xml:space="preserve">Draft validation report from actual test outputs</t>
  </si>
  <si>
    <t xml:space="preserve">Report with paper working, 54-row comparison table, defects D1-D6, edge cases, mutation tests, sign-off table</t>
  </si>
  <si>
    <t xml:space="preserve">Accept (pending team sign-off)</t>
  </si>
  <si>
    <t xml:space="preserve">Tables generated from benchmark/compare_with_dashboard.py output, not typed.</t>
  </si>
  <si>
    <t xml:space="preserve">Plan the deliverables and the role split for Topic 7 (prompt: 'tell me how I can deliver things and what we need')</t>
  </si>
  <si>
    <t xml:space="preserve">Deliverable list, metric/formula table, role-by-role tasks and a 4-week plan</t>
  </si>
  <si>
    <t xml:space="preserve">Accept (as a plan)</t>
  </si>
  <si>
    <t xml:space="preserve">Checked against the course guidelines PDF, Section 6; course dates and team roles kept from the charter.</t>
  </si>
  <si>
    <t xml:space="preserve">Where can we get real project data?</t>
  </si>
  <si>
    <t xml:space="preserve">Suggested the DSLIB empirical database (Ghent University), MoSPI flash reports for Indian context only, textbook cases for formula checks</t>
  </si>
  <si>
    <t xml:space="preserve">DSLIB release located on GitHub; citation Batselier &amp; Vanhoucke (2015) checked. MoSPI kept for the problem statement only (no period data).</t>
  </si>
  <si>
    <t xml:space="preserve">Extract the DSLIB data ('pull out that data')</t>
  </si>
  <si>
    <t xml:space="preserve">Downloaded DSLIB v3.4 (231 projects); extracted 78 construction projects with authentic tracking data at project and activity level</t>
  </si>
  <si>
    <t xml:space="preserve">AI recomputed CPI/SPI from the extracted PV/EV/AC and compared with ProTrack's own values: all 836 periods agree (difference &lt; 1e-13).</t>
  </si>
  <si>
    <t xml:space="preserve">2026-10-23</t>
  </si>
  <si>
    <t xml:space="preserve">One real project with activity-level data to test the dashboard</t>
  </si>
  <si>
    <t xml:space="preserve">Apartment Building (4) workbook: 39 activities, 13 reports, answer-key sheets</t>
  </si>
  <si>
    <t xml:space="preserve">AI rounded % complete to 4 decimals, which created false variances of up to EUR 3.88; caught by the AI's own test against ProTrack; corrected to full precision.</t>
  </si>
  <si>
    <t xml:space="preserve">2026-10-27</t>
  </si>
  <si>
    <t xml:space="preserve">Make the requested UI changes (home screen, combined chart, work-package analysis)</t>
  </si>
  <si>
    <t xml:space="preserve">AI first built a NEW separate app instead of changing the team's app on GitHub</t>
  </si>
  <si>
    <t xml:space="preserve">Reject</t>
  </si>
  <si>
    <t xml:space="preserve">Team pointed out the error. Changes were then made in the team repository (pull request #1) with tests; the separate app was discarded.</t>
  </si>
  <si>
    <t xml:space="preserve">Work-package status and top problem activities (mock-up and code)</t>
  </si>
  <si>
    <t xml:space="preserve">Mock-up showed a work package with CPI 0.86 as 'Amber' and ranked two equal-looking activities from rounded values</t>
  </si>
  <si>
    <t xml:space="preserve">Both were AI errors: the team's rule makes CPI &lt; 0.90 'Critical'; the true values differ by EUR 0.25. Caught by tests written from hand-calculated values.</t>
  </si>
  <si>
    <t xml:space="preserve">Add AI to the app so uploaded CSV/Excel files are understood</t>
  </si>
  <si>
    <t xml:space="preserve">AI offered three options: real AI via the Claude API (paid key, data sent outside), a built-in rule-based reader, or both</t>
  </si>
  <si>
    <t xml:space="preserve">Accept (team chose the built-in reader)</t>
  </si>
  <si>
    <t xml:space="preserve">Team decision: no API key and no project data leaving the app (confidentiality, Section 6 of the reflection). Rule-based reader is testable and free.</t>
  </si>
  <si>
    <t xml:space="preserve">Smart reader for the team's own site sheet (data_63.xlsx)</t>
  </si>
  <si>
    <t xml:space="preserve">src/smart_reader.py: header on row 4, status date from cell B1, fractions to %, totals row removed, missing AC reported</t>
  </si>
  <si>
    <t xml:space="preserve">Accept (pull request #2)</t>
  </si>
  <si>
    <t xml:space="preserve">38 tests incl. the team's sheet; BAC and PV equal the sheet's own totals; 10/10 injected faults detected; browser test 13/13.</t>
  </si>
  <si>
    <t xml:space="preserve">Why does the upload show 'PV looks like PV/EV… not needed'? (Prashant's sheet)</t>
  </si>
  <si>
    <t xml:space="preserve">AI explained its own message design was alarming; replaced it with a row-by-row cross-check of supplied PV/EV</t>
  </si>
  <si>
    <t xml:space="preserve">Modify (pull request #3)</t>
  </si>
  <si>
    <t xml:space="preserve">All 12 activities match; mismatching rows are named with both values; 3/3 injected faults detected.</t>
  </si>
  <si>
    <t xml:space="preserve">Why are graphs not generated after upload?</t>
  </si>
  <si>
    <t xml:space="preserve">Explained: the file has a single status date (one snapshot), so a trend has one point; proposed two fixes</t>
  </si>
  <si>
    <t xml:space="preserve">Explanation verified on the file. Implemented on 29-Oct: one axis label per date and an explicit note (tests/test_charts.py).</t>
  </si>
  <si>
    <t xml:space="preserve">Create a 50 %-complete file to test forecasting</t>
  </si>
  <si>
    <t xml:space="preserve">Real Belgian project (DSLIB C2014-05) cut at 50 % with an interpolated report, plus an answer key</t>
  </si>
  <si>
    <t xml:space="preserve">Accept with caveat</t>
  </si>
  <si>
    <t xml:space="preserve">No real report fell at 50 %; the interpolated rows are labelled in every row and in the answer key. Forecast errors computed against the real final cost.</t>
  </si>
  <si>
    <t xml:space="preserve">2026-10-29</t>
  </si>
  <si>
    <t xml:space="preserve">Real-data case small enough to check by hand, showing every feature</t>
  </si>
  <si>
    <t xml:space="preserve">Manual check case: DSLIB C2015-33 grouped into 4 work packages, 5 reports; hand-calculation workbook (502 Excel formulas)</t>
  </si>
  <si>
    <t xml:space="preserve">Workbook = dashboard for 90/90 values; data within the proven rounding bound of ProTrack's values; tests/test_manual_check_case.py.</t>
  </si>
  <si>
    <t xml:space="preserve">Summarise the manual check case</t>
  </si>
  <si>
    <t xml:space="preserve">Summary table gave CPI at 31-Dec-2013 as 0.714</t>
  </si>
  <si>
    <t xml:space="preserve">AI rounding slip: 111,728.57 / 156,594.45 = 0.71349 -&gt; 0.713. Caught by an interface test; documents corrected.</t>
  </si>
  <si>
    <t xml:space="preserve">Test that the 4-work-package file matches ProTrack</t>
  </si>
  <si>
    <t xml:space="preserve">First test used a guessed EUR 3 tolerance</t>
  </si>
  <si>
    <t xml:space="preserve">Observed difference EUR 3.79. Tolerance replaced by the derived bound 0.005 % x BAC = EUR 10.72.</t>
  </si>
  <si>
    <t xml:space="preserve">Improve user experience: visible Home button, premium look, better graphs</t>
  </si>
  <si>
    <t xml:space="preserve">Top control bar (Home, reporting date, method), refined banner/cards, coloured CPI/SPI zones, one label per date</t>
  </si>
  <si>
    <t xml:space="preserve">Screenshot review found the AI's CSS targeted an element that does not exist in Streamlit 1.66 and table columns pushed off-screen; both corrected. 161 tests; 6/6 injected faults detected.</t>
  </si>
  <si>
    <t xml:space="preserve">Update the deliverables (user manual, validation report, reflection draft, viva bank, slides)</t>
  </si>
  <si>
    <t xml:space="preserve">Updated documents from the actual runs; reflection draft expanded; individual reflections left for members</t>
  </si>
  <si>
    <t xml:space="preserve">User manual rendered to 5 pages; validation report Part B generated by benchmark/compare_manual_check_case.py; personal sections not written by the AI.</t>
  </si>
  <si>
    <t xml:space="preserve">[team to fill]</t>
  </si>
  <si>
    <t xml:space="preserve">[Earlier team AI use, e.g. topic selection / charter drafting / literature search — add genuine entries only]</t>
  </si>
  <si>
    <t xml:space="preserve">TEAM ENTRY</t>
  </si>
  <si>
    <t xml:space="preserve">Decision</t>
  </si>
  <si>
    <t xml:space="preserve">Entries</t>
  </si>
  <si>
    <t xml:space="preserve">Total</t>
  </si>
  <si>
    <t xml:space="preserve">Counts use the Decision column; the team-entry row is not counted until it is filled.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</si>
</sst>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2733"/>
        <bgColor rgb="FF33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C27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42"/>
    <col collapsed="false" customWidth="true" hidden="false" outlineLevel="0" max="6" min="6" style="0" width="18"/>
    <col collapsed="false" customWidth="true" hidden="false" outlineLevel="0" max="7" min="7" style="0" width="52"/>
    <col collapsed="false" customWidth="true" hidden="false" outlineLevel="0" max="8" min="8" style="0" width="18"/>
  </cols>
  <sheetData>
    <row r="1" customFormat="false" ht="16.1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6.25" hidden="false" customHeight="false" outlineLevel="0" collapsed="false">
      <c r="A5" s="4" t="n">
        <v>1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5" t="s">
        <v>16</v>
      </c>
    </row>
    <row r="6" customFormat="false" ht="46.25" hidden="false" customHeight="false" outlineLevel="0" collapsed="false">
      <c r="A6" s="4" t="n">
        <v>2</v>
      </c>
      <c r="B6" s="4" t="s">
        <v>10</v>
      </c>
      <c r="C6" s="4" t="s">
        <v>11</v>
      </c>
      <c r="D6" s="4" t="s">
        <v>17</v>
      </c>
      <c r="E6" s="4" t="s">
        <v>18</v>
      </c>
      <c r="F6" s="4" t="s">
        <v>19</v>
      </c>
      <c r="G6" s="4" t="s">
        <v>20</v>
      </c>
      <c r="H6" s="5" t="s">
        <v>16</v>
      </c>
    </row>
    <row r="7" customFormat="false" ht="35.05" hidden="false" customHeight="false" outlineLevel="0" collapsed="false">
      <c r="A7" s="4" t="n">
        <v>3</v>
      </c>
      <c r="B7" s="4" t="s">
        <v>10</v>
      </c>
      <c r="C7" s="4" t="s">
        <v>11</v>
      </c>
      <c r="D7" s="4" t="s">
        <v>21</v>
      </c>
      <c r="E7" s="4" t="s">
        <v>22</v>
      </c>
      <c r="F7" s="4" t="s">
        <v>23</v>
      </c>
      <c r="G7" s="4" t="s">
        <v>24</v>
      </c>
      <c r="H7" s="5" t="s">
        <v>16</v>
      </c>
    </row>
    <row r="8" customFormat="false" ht="35.05" hidden="false" customHeight="false" outlineLevel="0" collapsed="false">
      <c r="A8" s="4" t="n">
        <v>4</v>
      </c>
      <c r="B8" s="4" t="s">
        <v>10</v>
      </c>
      <c r="C8" s="4" t="s">
        <v>11</v>
      </c>
      <c r="D8" s="4" t="s">
        <v>25</v>
      </c>
      <c r="E8" s="4" t="s">
        <v>26</v>
      </c>
      <c r="F8" s="4" t="s">
        <v>19</v>
      </c>
      <c r="G8" s="4" t="s">
        <v>27</v>
      </c>
      <c r="H8" s="5" t="s">
        <v>16</v>
      </c>
    </row>
    <row r="9" customFormat="false" ht="35.05" hidden="false" customHeight="false" outlineLevel="0" collapsed="false">
      <c r="A9" s="4" t="n">
        <v>5</v>
      </c>
      <c r="B9" s="4" t="s">
        <v>10</v>
      </c>
      <c r="C9" s="4" t="s">
        <v>11</v>
      </c>
      <c r="D9" s="4" t="s">
        <v>28</v>
      </c>
      <c r="E9" s="4" t="s">
        <v>29</v>
      </c>
      <c r="F9" s="4" t="s">
        <v>19</v>
      </c>
      <c r="G9" s="4" t="s">
        <v>30</v>
      </c>
      <c r="H9" s="5" t="s">
        <v>16</v>
      </c>
    </row>
    <row r="10" customFormat="false" ht="35.05" hidden="false" customHeight="false" outlineLevel="0" collapsed="false">
      <c r="A10" s="4" t="n">
        <v>6</v>
      </c>
      <c r="B10" s="4" t="s">
        <v>10</v>
      </c>
      <c r="C10" s="4" t="s">
        <v>11</v>
      </c>
      <c r="D10" s="4" t="s">
        <v>31</v>
      </c>
      <c r="E10" s="4" t="s">
        <v>32</v>
      </c>
      <c r="F10" s="4" t="s">
        <v>33</v>
      </c>
      <c r="G10" s="4" t="s">
        <v>34</v>
      </c>
      <c r="H10" s="5" t="s">
        <v>16</v>
      </c>
    </row>
    <row r="11" customFormat="false" ht="35.05" hidden="false" customHeight="false" outlineLevel="0" collapsed="false">
      <c r="A11" s="4" t="n">
        <v>7</v>
      </c>
      <c r="B11" s="4" t="s">
        <v>10</v>
      </c>
      <c r="C11" s="4" t="s">
        <v>11</v>
      </c>
      <c r="D11" s="4" t="s">
        <v>35</v>
      </c>
      <c r="E11" s="4" t="s">
        <v>36</v>
      </c>
      <c r="F11" s="4" t="s">
        <v>19</v>
      </c>
      <c r="G11" s="4" t="s">
        <v>37</v>
      </c>
      <c r="H11" s="5" t="s">
        <v>16</v>
      </c>
    </row>
    <row r="12" customFormat="false" ht="35.05" hidden="false" customHeight="false" outlineLevel="0" collapsed="false">
      <c r="A12" s="4" t="n">
        <v>8</v>
      </c>
      <c r="B12" s="4" t="s">
        <v>10</v>
      </c>
      <c r="C12" s="4" t="s">
        <v>11</v>
      </c>
      <c r="D12" s="4" t="s">
        <v>38</v>
      </c>
      <c r="E12" s="4" t="s">
        <v>39</v>
      </c>
      <c r="F12" s="4" t="s">
        <v>19</v>
      </c>
      <c r="G12" s="4" t="s">
        <v>40</v>
      </c>
      <c r="H12" s="5" t="s">
        <v>16</v>
      </c>
    </row>
    <row r="13" customFormat="false" ht="46.25" hidden="false" customHeight="false" outlineLevel="0" collapsed="false">
      <c r="A13" s="4" t="n">
        <v>9</v>
      </c>
      <c r="B13" s="4" t="s">
        <v>10</v>
      </c>
      <c r="C13" s="4" t="s">
        <v>11</v>
      </c>
      <c r="D13" s="4" t="s">
        <v>41</v>
      </c>
      <c r="E13" s="4" t="s">
        <v>42</v>
      </c>
      <c r="F13" s="4" t="s">
        <v>19</v>
      </c>
      <c r="G13" s="4" t="s">
        <v>43</v>
      </c>
      <c r="H13" s="5" t="s">
        <v>16</v>
      </c>
    </row>
    <row r="14" customFormat="false" ht="35.05" hidden="false" customHeight="false" outlineLevel="0" collapsed="false">
      <c r="A14" s="4" t="n">
        <v>10</v>
      </c>
      <c r="B14" s="4" t="s">
        <v>10</v>
      </c>
      <c r="C14" s="4" t="s">
        <v>11</v>
      </c>
      <c r="D14" s="4" t="s">
        <v>44</v>
      </c>
      <c r="E14" s="4" t="s">
        <v>45</v>
      </c>
      <c r="F14" s="4" t="s">
        <v>46</v>
      </c>
      <c r="G14" s="4" t="s">
        <v>47</v>
      </c>
      <c r="H14" s="5" t="s">
        <v>16</v>
      </c>
    </row>
    <row r="15" customFormat="false" ht="35.05" hidden="false" customHeight="false" outlineLevel="0" collapsed="false">
      <c r="A15" s="4" t="n">
        <v>11</v>
      </c>
      <c r="B15" s="4" t="s">
        <v>10</v>
      </c>
      <c r="C15" s="4" t="s">
        <v>11</v>
      </c>
      <c r="D15" s="4" t="s">
        <v>48</v>
      </c>
      <c r="E15" s="4" t="s">
        <v>49</v>
      </c>
      <c r="F15" s="4" t="s">
        <v>19</v>
      </c>
      <c r="G15" s="4" t="s">
        <v>50</v>
      </c>
      <c r="H15" s="5" t="s">
        <v>16</v>
      </c>
    </row>
    <row r="16" customFormat="false" ht="35.05" hidden="false" customHeight="false" outlineLevel="0" collapsed="false">
      <c r="A16" s="4" t="n">
        <v>12</v>
      </c>
      <c r="B16" s="4" t="s">
        <v>10</v>
      </c>
      <c r="C16" s="4" t="s">
        <v>11</v>
      </c>
      <c r="D16" s="4" t="s">
        <v>51</v>
      </c>
      <c r="E16" s="4" t="s">
        <v>52</v>
      </c>
      <c r="F16" s="4" t="s">
        <v>53</v>
      </c>
      <c r="G16" s="4" t="s">
        <v>54</v>
      </c>
      <c r="H16" s="5" t="s">
        <v>16</v>
      </c>
    </row>
    <row r="17" customFormat="false" ht="35.05" hidden="false" customHeight="false" outlineLevel="0" collapsed="false">
      <c r="A17" s="4" t="n">
        <v>13</v>
      </c>
      <c r="B17" s="4" t="s">
        <v>10</v>
      </c>
      <c r="C17" s="4" t="s">
        <v>11</v>
      </c>
      <c r="D17" s="4" t="s">
        <v>55</v>
      </c>
      <c r="E17" s="4" t="s">
        <v>56</v>
      </c>
      <c r="F17" s="4" t="s">
        <v>46</v>
      </c>
      <c r="G17" s="4" t="s">
        <v>57</v>
      </c>
      <c r="H17" s="5" t="s">
        <v>16</v>
      </c>
    </row>
    <row r="18" customFormat="false" ht="35.05" hidden="false" customHeight="false" outlineLevel="0" collapsed="false">
      <c r="A18" s="4" t="n">
        <v>14</v>
      </c>
      <c r="B18" s="4" t="s">
        <v>10</v>
      </c>
      <c r="C18" s="4" t="s">
        <v>11</v>
      </c>
      <c r="D18" s="4" t="s">
        <v>58</v>
      </c>
      <c r="E18" s="4" t="s">
        <v>59</v>
      </c>
      <c r="F18" s="4" t="s">
        <v>46</v>
      </c>
      <c r="G18" s="4" t="s">
        <v>60</v>
      </c>
      <c r="H18" s="5" t="s">
        <v>16</v>
      </c>
    </row>
    <row r="19" customFormat="false" ht="35.05" hidden="false" customHeight="false" outlineLevel="0" collapsed="false">
      <c r="A19" s="4" t="n">
        <v>15</v>
      </c>
      <c r="B19" s="4" t="s">
        <v>10</v>
      </c>
      <c r="C19" s="4" t="s">
        <v>11</v>
      </c>
      <c r="D19" s="4" t="s">
        <v>61</v>
      </c>
      <c r="E19" s="4" t="s">
        <v>62</v>
      </c>
      <c r="F19" s="4" t="s">
        <v>46</v>
      </c>
      <c r="G19" s="4" t="s">
        <v>63</v>
      </c>
      <c r="H19" s="5" t="s">
        <v>16</v>
      </c>
    </row>
    <row r="20" customFormat="false" ht="35.05" hidden="false" customHeight="false" outlineLevel="0" collapsed="false">
      <c r="A20" s="4" t="n">
        <v>16</v>
      </c>
      <c r="B20" s="4" t="s">
        <v>10</v>
      </c>
      <c r="C20" s="4" t="s">
        <v>11</v>
      </c>
      <c r="D20" s="4" t="s">
        <v>64</v>
      </c>
      <c r="E20" s="4" t="s">
        <v>65</v>
      </c>
      <c r="F20" s="4" t="s">
        <v>66</v>
      </c>
      <c r="G20" s="4" t="s">
        <v>67</v>
      </c>
      <c r="H20" s="5" t="s">
        <v>16</v>
      </c>
    </row>
    <row r="21" customFormat="false" ht="35.05" hidden="false" customHeight="false" outlineLevel="0" collapsed="false">
      <c r="A21" s="4" t="n">
        <v>17</v>
      </c>
      <c r="B21" s="4" t="s">
        <v>10</v>
      </c>
      <c r="C21" s="4" t="s">
        <v>11</v>
      </c>
      <c r="D21" s="4" t="s">
        <v>68</v>
      </c>
      <c r="E21" s="4" t="s">
        <v>69</v>
      </c>
      <c r="F21" s="4" t="s">
        <v>70</v>
      </c>
      <c r="G21" s="4" t="s">
        <v>71</v>
      </c>
      <c r="H21" s="5" t="s">
        <v>16</v>
      </c>
    </row>
    <row r="22" customFormat="false" ht="35.05" hidden="false" customHeight="false" outlineLevel="0" collapsed="false">
      <c r="A22" s="4" t="n">
        <v>18</v>
      </c>
      <c r="B22" s="4" t="s">
        <v>10</v>
      </c>
      <c r="C22" s="4" t="s">
        <v>11</v>
      </c>
      <c r="D22" s="4" t="s">
        <v>72</v>
      </c>
      <c r="E22" s="4" t="s">
        <v>73</v>
      </c>
      <c r="F22" s="4" t="s">
        <v>74</v>
      </c>
      <c r="G22" s="4" t="s">
        <v>75</v>
      </c>
      <c r="H22" s="5" t="s">
        <v>16</v>
      </c>
    </row>
    <row r="23" customFormat="false" ht="35.05" hidden="false" customHeight="false" outlineLevel="0" collapsed="false">
      <c r="A23" s="4" t="n">
        <v>19</v>
      </c>
      <c r="B23" s="4" t="s">
        <v>10</v>
      </c>
      <c r="C23" s="4" t="s">
        <v>11</v>
      </c>
      <c r="D23" s="4" t="s">
        <v>76</v>
      </c>
      <c r="E23" s="4" t="s">
        <v>77</v>
      </c>
      <c r="F23" s="4" t="s">
        <v>19</v>
      </c>
      <c r="G23" s="4" t="s">
        <v>78</v>
      </c>
      <c r="H23" s="5" t="s">
        <v>16</v>
      </c>
    </row>
    <row r="24" customFormat="false" ht="35.05" hidden="false" customHeight="false" outlineLevel="0" collapsed="false">
      <c r="A24" s="4" t="n">
        <v>20</v>
      </c>
      <c r="B24" s="4" t="s">
        <v>10</v>
      </c>
      <c r="C24" s="4" t="s">
        <v>11</v>
      </c>
      <c r="D24" s="4" t="s">
        <v>79</v>
      </c>
      <c r="E24" s="4" t="s">
        <v>80</v>
      </c>
      <c r="F24" s="4" t="s">
        <v>46</v>
      </c>
      <c r="G24" s="4" t="s">
        <v>81</v>
      </c>
      <c r="H24" s="5" t="s">
        <v>16</v>
      </c>
    </row>
    <row r="25" customFormat="false" ht="35.05" hidden="false" customHeight="false" outlineLevel="0" collapsed="false">
      <c r="A25" s="4" t="n">
        <v>21</v>
      </c>
      <c r="B25" s="4" t="s">
        <v>10</v>
      </c>
      <c r="C25" s="4" t="s">
        <v>11</v>
      </c>
      <c r="D25" s="4" t="s">
        <v>82</v>
      </c>
      <c r="E25" s="4" t="s">
        <v>83</v>
      </c>
      <c r="F25" s="4" t="s">
        <v>84</v>
      </c>
      <c r="G25" s="4" t="s">
        <v>85</v>
      </c>
      <c r="H25" s="5" t="s">
        <v>16</v>
      </c>
    </row>
    <row r="26" customFormat="false" ht="35.05" hidden="false" customHeight="false" outlineLevel="0" collapsed="false">
      <c r="A26" s="4" t="n">
        <v>22</v>
      </c>
      <c r="B26" s="4" t="s">
        <v>10</v>
      </c>
      <c r="C26" s="4" t="s">
        <v>11</v>
      </c>
      <c r="D26" s="4" t="s">
        <v>86</v>
      </c>
      <c r="E26" s="4" t="s">
        <v>87</v>
      </c>
      <c r="F26" s="4" t="s">
        <v>88</v>
      </c>
      <c r="G26" s="4" t="s">
        <v>89</v>
      </c>
      <c r="H26" s="5" t="s">
        <v>16</v>
      </c>
    </row>
    <row r="27" customFormat="false" ht="35.05" hidden="false" customHeight="false" outlineLevel="0" collapsed="false">
      <c r="A27" s="4" t="n">
        <v>23</v>
      </c>
      <c r="B27" s="4" t="s">
        <v>10</v>
      </c>
      <c r="C27" s="4" t="s">
        <v>11</v>
      </c>
      <c r="D27" s="4" t="s">
        <v>90</v>
      </c>
      <c r="E27" s="4" t="s">
        <v>91</v>
      </c>
      <c r="F27" s="4" t="s">
        <v>19</v>
      </c>
      <c r="G27" s="4" t="s">
        <v>92</v>
      </c>
      <c r="H27" s="5" t="s">
        <v>16</v>
      </c>
    </row>
    <row r="28" customFormat="false" ht="35.05" hidden="false" customHeight="false" outlineLevel="0" collapsed="false">
      <c r="A28" s="4" t="n">
        <v>24</v>
      </c>
      <c r="B28" s="4" t="s">
        <v>10</v>
      </c>
      <c r="C28" s="4" t="s">
        <v>11</v>
      </c>
      <c r="D28" s="4" t="s">
        <v>93</v>
      </c>
      <c r="E28" s="4" t="s">
        <v>94</v>
      </c>
      <c r="F28" s="4" t="s">
        <v>19</v>
      </c>
      <c r="G28" s="4" t="s">
        <v>95</v>
      </c>
      <c r="H28" s="5" t="s">
        <v>16</v>
      </c>
    </row>
    <row r="29" customFormat="false" ht="35.05" hidden="false" customHeight="false" outlineLevel="0" collapsed="false">
      <c r="A29" s="4" t="n">
        <v>25</v>
      </c>
      <c r="B29" s="4" t="s">
        <v>96</v>
      </c>
      <c r="C29" s="4" t="s">
        <v>11</v>
      </c>
      <c r="D29" s="4" t="s">
        <v>97</v>
      </c>
      <c r="E29" s="4" t="s">
        <v>98</v>
      </c>
      <c r="F29" s="4" t="s">
        <v>46</v>
      </c>
      <c r="G29" s="4" t="s">
        <v>99</v>
      </c>
      <c r="H29" s="5" t="s">
        <v>16</v>
      </c>
    </row>
    <row r="30" customFormat="false" ht="35.05" hidden="false" customHeight="false" outlineLevel="0" collapsed="false">
      <c r="A30" s="4" t="n">
        <v>26</v>
      </c>
      <c r="B30" s="4" t="s">
        <v>100</v>
      </c>
      <c r="C30" s="4" t="s">
        <v>11</v>
      </c>
      <c r="D30" s="4" t="s">
        <v>101</v>
      </c>
      <c r="E30" s="4" t="s">
        <v>102</v>
      </c>
      <c r="F30" s="4" t="s">
        <v>103</v>
      </c>
      <c r="G30" s="4" t="s">
        <v>104</v>
      </c>
      <c r="H30" s="5" t="s">
        <v>16</v>
      </c>
    </row>
    <row r="31" customFormat="false" ht="35.05" hidden="false" customHeight="false" outlineLevel="0" collapsed="false">
      <c r="A31" s="4" t="n">
        <v>27</v>
      </c>
      <c r="B31" s="4" t="s">
        <v>100</v>
      </c>
      <c r="C31" s="4" t="s">
        <v>11</v>
      </c>
      <c r="D31" s="4" t="s">
        <v>105</v>
      </c>
      <c r="E31" s="4" t="s">
        <v>106</v>
      </c>
      <c r="F31" s="4" t="s">
        <v>46</v>
      </c>
      <c r="G31" s="4" t="s">
        <v>107</v>
      </c>
      <c r="H31" s="5" t="s">
        <v>16</v>
      </c>
    </row>
    <row r="32" customFormat="false" ht="35.05" hidden="false" customHeight="false" outlineLevel="0" collapsed="false">
      <c r="A32" s="4" t="n">
        <v>28</v>
      </c>
      <c r="B32" s="4" t="s">
        <v>100</v>
      </c>
      <c r="C32" s="4" t="s">
        <v>11</v>
      </c>
      <c r="D32" s="4" t="s">
        <v>108</v>
      </c>
      <c r="E32" s="4" t="s">
        <v>109</v>
      </c>
      <c r="F32" s="4" t="s">
        <v>110</v>
      </c>
      <c r="G32" s="4" t="s">
        <v>111</v>
      </c>
      <c r="H32" s="5" t="s">
        <v>16</v>
      </c>
    </row>
    <row r="33" customFormat="false" ht="35.05" hidden="false" customHeight="false" outlineLevel="0" collapsed="false">
      <c r="A33" s="4" t="n">
        <v>29</v>
      </c>
      <c r="B33" s="4" t="s">
        <v>100</v>
      </c>
      <c r="C33" s="4" t="s">
        <v>11</v>
      </c>
      <c r="D33" s="4" t="s">
        <v>112</v>
      </c>
      <c r="E33" s="4" t="s">
        <v>113</v>
      </c>
      <c r="F33" s="4" t="s">
        <v>114</v>
      </c>
      <c r="G33" s="4" t="s">
        <v>115</v>
      </c>
      <c r="H33" s="5" t="s">
        <v>16</v>
      </c>
    </row>
    <row r="34" customFormat="false" ht="35.05" hidden="false" customHeight="false" outlineLevel="0" collapsed="false">
      <c r="A34" s="4" t="n">
        <v>30</v>
      </c>
      <c r="B34" s="4" t="s">
        <v>100</v>
      </c>
      <c r="C34" s="4" t="s">
        <v>11</v>
      </c>
      <c r="D34" s="4" t="s">
        <v>116</v>
      </c>
      <c r="E34" s="4" t="s">
        <v>117</v>
      </c>
      <c r="F34" s="4" t="s">
        <v>118</v>
      </c>
      <c r="G34" s="4" t="s">
        <v>119</v>
      </c>
      <c r="H34" s="5" t="s">
        <v>16</v>
      </c>
    </row>
    <row r="35" customFormat="false" ht="35.05" hidden="false" customHeight="false" outlineLevel="0" collapsed="false">
      <c r="A35" s="4" t="n">
        <v>31</v>
      </c>
      <c r="B35" s="4" t="s">
        <v>100</v>
      </c>
      <c r="C35" s="4" t="s">
        <v>11</v>
      </c>
      <c r="D35" s="4" t="s">
        <v>120</v>
      </c>
      <c r="E35" s="4" t="s">
        <v>121</v>
      </c>
      <c r="F35" s="4" t="s">
        <v>19</v>
      </c>
      <c r="G35" s="4" t="s">
        <v>122</v>
      </c>
      <c r="H35" s="5" t="s">
        <v>16</v>
      </c>
    </row>
    <row r="36" customFormat="false" ht="35.05" hidden="false" customHeight="false" outlineLevel="0" collapsed="false">
      <c r="A36" s="4" t="n">
        <v>32</v>
      </c>
      <c r="B36" s="4" t="s">
        <v>100</v>
      </c>
      <c r="C36" s="4" t="s">
        <v>11</v>
      </c>
      <c r="D36" s="4" t="s">
        <v>123</v>
      </c>
      <c r="E36" s="4" t="s">
        <v>124</v>
      </c>
      <c r="F36" s="4" t="s">
        <v>125</v>
      </c>
      <c r="G36" s="4" t="s">
        <v>126</v>
      </c>
      <c r="H36" s="5" t="s">
        <v>16</v>
      </c>
    </row>
    <row r="37" customFormat="false" ht="35.05" hidden="false" customHeight="false" outlineLevel="0" collapsed="false">
      <c r="A37" s="4" t="n">
        <v>33</v>
      </c>
      <c r="B37" s="4" t="s">
        <v>127</v>
      </c>
      <c r="C37" s="4" t="s">
        <v>11</v>
      </c>
      <c r="D37" s="4" t="s">
        <v>128</v>
      </c>
      <c r="E37" s="4" t="s">
        <v>129</v>
      </c>
      <c r="F37" s="4" t="s">
        <v>19</v>
      </c>
      <c r="G37" s="4" t="s">
        <v>130</v>
      </c>
      <c r="H37" s="5" t="s">
        <v>16</v>
      </c>
    </row>
    <row r="38" customFormat="false" ht="35.05" hidden="false" customHeight="false" outlineLevel="0" collapsed="false">
      <c r="A38" s="4" t="n">
        <v>34</v>
      </c>
      <c r="B38" s="4" t="s">
        <v>127</v>
      </c>
      <c r="C38" s="4" t="s">
        <v>11</v>
      </c>
      <c r="D38" s="4" t="s">
        <v>131</v>
      </c>
      <c r="E38" s="4" t="s">
        <v>132</v>
      </c>
      <c r="F38" s="4" t="s">
        <v>46</v>
      </c>
      <c r="G38" s="4" t="s">
        <v>133</v>
      </c>
      <c r="H38" s="5" t="s">
        <v>16</v>
      </c>
    </row>
    <row r="39" customFormat="false" ht="35.05" hidden="false" customHeight="false" outlineLevel="0" collapsed="false">
      <c r="A39" s="4" t="n">
        <v>35</v>
      </c>
      <c r="B39" s="4" t="s">
        <v>127</v>
      </c>
      <c r="C39" s="4" t="s">
        <v>11</v>
      </c>
      <c r="D39" s="4" t="s">
        <v>134</v>
      </c>
      <c r="E39" s="4" t="s">
        <v>135</v>
      </c>
      <c r="F39" s="4" t="s">
        <v>46</v>
      </c>
      <c r="G39" s="4" t="s">
        <v>136</v>
      </c>
      <c r="H39" s="5" t="s">
        <v>16</v>
      </c>
    </row>
    <row r="40" customFormat="false" ht="35.05" hidden="false" customHeight="false" outlineLevel="0" collapsed="false">
      <c r="A40" s="4" t="n">
        <v>36</v>
      </c>
      <c r="B40" s="4" t="s">
        <v>127</v>
      </c>
      <c r="C40" s="4" t="s">
        <v>11</v>
      </c>
      <c r="D40" s="4" t="s">
        <v>137</v>
      </c>
      <c r="E40" s="4" t="s">
        <v>138</v>
      </c>
      <c r="F40" s="4" t="s">
        <v>46</v>
      </c>
      <c r="G40" s="4" t="s">
        <v>139</v>
      </c>
      <c r="H40" s="5" t="s">
        <v>16</v>
      </c>
    </row>
    <row r="41" customFormat="false" ht="35.05" hidden="false" customHeight="false" outlineLevel="0" collapsed="false">
      <c r="A41" s="4" t="n">
        <v>37</v>
      </c>
      <c r="B41" s="4" t="s">
        <v>127</v>
      </c>
      <c r="C41" s="4" t="s">
        <v>11</v>
      </c>
      <c r="D41" s="4" t="s">
        <v>140</v>
      </c>
      <c r="E41" s="4" t="s">
        <v>141</v>
      </c>
      <c r="F41" s="4" t="s">
        <v>14</v>
      </c>
      <c r="G41" s="4" t="s">
        <v>142</v>
      </c>
      <c r="H41" s="5" t="s">
        <v>16</v>
      </c>
    </row>
    <row r="42" customFormat="false" ht="35.05" hidden="false" customHeight="false" outlineLevel="0" collapsed="false">
      <c r="A42" s="4" t="n">
        <v>38</v>
      </c>
      <c r="B42" s="4" t="s">
        <v>143</v>
      </c>
      <c r="C42" s="4" t="s">
        <v>143</v>
      </c>
      <c r="D42" s="4" t="s">
        <v>144</v>
      </c>
      <c r="E42" s="4"/>
      <c r="F42" s="4"/>
      <c r="G42" s="4"/>
      <c r="H42" s="4" t="s">
        <v>145</v>
      </c>
    </row>
  </sheetData>
  <autoFilter ref="A4:H42"/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6" t="s">
        <v>146</v>
      </c>
      <c r="B1" s="6" t="s">
        <v>147</v>
      </c>
    </row>
    <row r="2" customFormat="false" ht="15" hidden="false" customHeight="false" outlineLevel="0" collapsed="false">
      <c r="A2" s="7" t="s">
        <v>19</v>
      </c>
      <c r="B2" s="7" t="n">
        <f aca="false">COUNTIF('AI usage log'!F5:F42,"Accept*")</f>
        <v>24</v>
      </c>
    </row>
    <row r="3" customFormat="false" ht="15" hidden="false" customHeight="false" outlineLevel="0" collapsed="false">
      <c r="A3" s="7" t="s">
        <v>46</v>
      </c>
      <c r="B3" s="7" t="n">
        <f aca="false">COUNTIF('AI usage log'!F5:F42,"Modify*")</f>
        <v>11</v>
      </c>
    </row>
    <row r="4" customFormat="false" ht="15" hidden="false" customHeight="false" outlineLevel="0" collapsed="false">
      <c r="A4" s="7" t="s">
        <v>103</v>
      </c>
      <c r="B4" s="7" t="n">
        <f aca="false">COUNTIF('AI usage log'!F5:F42,"Reject*")</f>
        <v>2</v>
      </c>
    </row>
    <row r="5" customFormat="false" ht="15" hidden="false" customHeight="false" outlineLevel="0" collapsed="false">
      <c r="A5" s="6" t="s">
        <v>148</v>
      </c>
      <c r="B5" s="6" t="n">
        <f aca="false">SUM(B2:B4)</f>
        <v>37</v>
      </c>
    </row>
    <row r="7" customFormat="false" ht="15" hidden="false" customHeight="false" outlineLevel="0" collapsed="false">
      <c r="A7" s="8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2026-10-29T17:29:46Z</dcterms:created>
  <dc:creator>openpyxl</dc:creator>
  <dc:description/>
  <dc:language>en-US</dc:language>
  <cp:lastModifiedBy/>
  <dcterms:modified xsi:type="dcterms:W3CDTF">2026-10-29T17:29:46Z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