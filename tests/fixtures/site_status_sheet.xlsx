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 Verma\AppData\Local\Packages\5319275A.WhatsAppDesktop_cv1g1gvanyjgm\LocalState\sessions\2CD87964D18E96794EB3B11DDAFF411AF5DC20CD\transfers\2026-43\"/>
    </mc:Choice>
  </mc:AlternateContent>
  <xr:revisionPtr revIDLastSave="0" documentId="8_{4384F467-B3C6-4A72-8BEA-8F566FED5A2E}" xr6:coauthVersionLast="47" xr6:coauthVersionMax="47" xr10:uidLastSave="{00000000-0000-0000-0000-000000000000}"/>
  <bookViews>
    <workbookView xWindow="-108" yWindow="-108" windowWidth="23256" windowHeight="13176" xr2:uid="{1710FB51-6C14-4126-A407-1AA80709E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I5" i="1" s="1"/>
  <c r="F18" i="1"/>
  <c r="E16" i="1"/>
  <c r="G16" i="1" s="1"/>
  <c r="I16" i="1" s="1"/>
  <c r="E15" i="1"/>
  <c r="G15" i="1" s="1"/>
  <c r="I15" i="1" s="1"/>
  <c r="E14" i="1"/>
  <c r="G14" i="1" s="1"/>
  <c r="I14" i="1" s="1"/>
  <c r="E13" i="1"/>
  <c r="G13" i="1" s="1"/>
  <c r="I13" i="1" s="1"/>
  <c r="E12" i="1"/>
  <c r="G12" i="1" s="1"/>
  <c r="E11" i="1"/>
  <c r="G11" i="1" s="1"/>
  <c r="I11" i="1" s="1"/>
  <c r="E10" i="1"/>
  <c r="G10" i="1" s="1"/>
  <c r="I10" i="1" s="1"/>
  <c r="E9" i="1"/>
  <c r="G9" i="1" s="1"/>
  <c r="I9" i="1" s="1"/>
  <c r="E8" i="1"/>
  <c r="G8" i="1" s="1"/>
  <c r="I8" i="1" s="1"/>
  <c r="E7" i="1"/>
  <c r="G7" i="1" s="1"/>
  <c r="I7" i="1" s="1"/>
  <c r="E6" i="1"/>
  <c r="G6" i="1" s="1"/>
  <c r="I6" i="1" s="1"/>
  <c r="E5" i="1"/>
  <c r="I12" i="1" l="1"/>
  <c r="I18" i="1"/>
</calcChain>
</file>

<file path=xl/sharedStrings.xml><?xml version="1.0" encoding="utf-8"?>
<sst xmlns="http://schemas.openxmlformats.org/spreadsheetml/2006/main" count="35" uniqueCount="35">
  <si>
    <t>Activity ID</t>
  </si>
  <si>
    <t>Activity</t>
  </si>
  <si>
    <t>Baseline Start</t>
  </si>
  <si>
    <t>Baseline Finish</t>
  </si>
  <si>
    <t>Duration (days)</t>
  </si>
  <si>
    <t>BAC / Activity Budget</t>
  </si>
  <si>
    <t>Planned % Complete</t>
  </si>
  <si>
    <t>Actual % Complete</t>
  </si>
  <si>
    <t>PV</t>
  </si>
  <si>
    <t>A01</t>
  </si>
  <si>
    <t>Mobilization and site setup</t>
  </si>
  <si>
    <t>A02</t>
  </si>
  <si>
    <t>Site clearance</t>
  </si>
  <si>
    <t>A03</t>
  </si>
  <si>
    <t>Excavation</t>
  </si>
  <si>
    <t>A04</t>
  </si>
  <si>
    <t>PCC and footing work</t>
  </si>
  <si>
    <t>A05</t>
  </si>
  <si>
    <t>Foundation reinforcement/formwork</t>
  </si>
  <si>
    <t>A06</t>
  </si>
  <si>
    <t>Foundation concrete</t>
  </si>
  <si>
    <t>A07</t>
  </si>
  <si>
    <t>Backfilling and plinth preparation</t>
  </si>
  <si>
    <t>A08</t>
  </si>
  <si>
    <t>Columns and vertical elements</t>
  </si>
  <si>
    <t>A09</t>
  </si>
  <si>
    <t>Beam/slab formwork and reinforcement</t>
  </si>
  <si>
    <t>A10</t>
  </si>
  <si>
    <t>Ground-floor masonry</t>
  </si>
  <si>
    <t>A11</t>
  </si>
  <si>
    <t>Plumbing rough-in</t>
  </si>
  <si>
    <t>A12</t>
  </si>
  <si>
    <t>Electrical conduit installation</t>
  </si>
  <si>
    <t>Project totals / indices</t>
  </si>
  <si>
    <t>Status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</si>
</sst>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rgb="FF7F6000"/>
      <name val="Carlito"/>
    </font>
    <font>
      <i/>
      <sz val="11"/>
      <color rgb="FF9C0006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15A8E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2" borderId="0" xfId="0" applyNumberFormat="1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9" fontId="0" fillId="2" borderId="0" xfId="0" applyNumberFormat="1" applyFill="1" applyAlignment="1">
      <alignment wrapText="1"/>
    </xf>
    <xf numFmtId="0" fontId="4" fillId="4" borderId="0" xfId="0" applyFont="1" applyFill="1" applyAlignment="1">
      <alignment wrapText="1"/>
    </xf>
    <xf numFmtId="4" fontId="4" fillId="4" borderId="0" xfId="0" applyNumberFormat="1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4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C0BE2-5142-454E-8BC1-D21DBE3F02F0}" name="SyntheticEVMDataset" displayName="SyntheticEVMDataset" ref="A4:I16" totalsRowShown="0">
  <tableColumns count="9">
    <tableColumn id="1" xr3:uid="{600A5A40-A553-493F-9160-665F3BC4FB07}" name="Activity ID"/>
    <tableColumn id="2" xr3:uid="{82B6E6DA-4641-42E3-9152-9BF704F61AEC}" name="Activity"/>
    <tableColumn id="3" xr3:uid="{0892D613-249C-49C3-B924-9D603B1BCE9E}" name="Baseline Start"/>
    <tableColumn id="4" xr3:uid="{75C59A7D-47DB-41E1-BF41-859DEAAC6139}" name="Baseline Finish"/>
    <tableColumn id="5" xr3:uid="{135403B5-9411-4877-9293-6A6763EC71E7}" name="Duration (days)">
      <calculatedColumnFormula>D5-C5+1</calculatedColumnFormula>
    </tableColumn>
    <tableColumn id="6" xr3:uid="{5E27F196-6630-44CC-8E08-7F2E513ECB3B}" name="BAC / Activity Budget"/>
    <tableColumn id="7" xr3:uid="{DA918336-BF3F-4A56-A26D-4D72F91C1FD5}" name="Planned % Complete" dataDxfId="0">
      <calculatedColumnFormula>MAX(0,MIN(1,($B$1-C5+1)/E5))</calculatedColumnFormula>
    </tableColumn>
    <tableColumn id="8" xr3:uid="{1D6F5DF6-C537-4998-A5C5-71BEF8A2F265}" name="Actual % Complete"/>
    <tableColumn id="9" xr3:uid="{7B2DD2B6-76DA-4291-8866-0E51D059259F}" name="PV">
      <calculatedColumnFormula>F5*G5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C2B3-3B3C-4845-98F8-04292C8F5745}">
  <dimension ref="A1:O18"/>
  <sheetViews>
    <sheetView tabSelected="1" workbookViewId="0">
      <selection activeCell="F24" sqref="F24"/>
    </sheetView>
  </sheetViews>
  <sheetFormatPr defaultRowHeight="14.4"/>
  <cols>
    <col min="1" max="1" width="11.5546875" customWidth="1"/>
    <col min="2" max="2" width="26.77734375" customWidth="1"/>
    <col min="3" max="3" width="14.33203125" customWidth="1"/>
    <col min="4" max="4" width="18" customWidth="1"/>
    <col min="5" max="5" width="10.21875" customWidth="1"/>
    <col min="6" max="6" width="14.21875" customWidth="1"/>
    <col min="7" max="7" width="12.109375" customWidth="1"/>
    <col min="8" max="8" width="12" customWidth="1"/>
    <col min="9" max="9" width="15.6640625" hidden="1" customWidth="1"/>
    <col min="10" max="10" width="13.77734375" customWidth="1"/>
    <col min="11" max="11" width="14.77734375" customWidth="1"/>
    <col min="12" max="12" width="13.77734375" customWidth="1"/>
    <col min="13" max="13" width="14.5546875" customWidth="1"/>
  </cols>
  <sheetData>
    <row r="1" spans="1:15">
      <c r="A1" t="s">
        <v>34</v>
      </c>
      <c r="B1" s="1">
        <v>45716</v>
      </c>
      <c r="D1" s="1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4" spans="1:15" ht="41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10"/>
      <c r="K4" s="10"/>
      <c r="L4" s="10"/>
      <c r="M4" s="10"/>
    </row>
    <row r="5" spans="1:15">
      <c r="A5" s="3" t="s">
        <v>9</v>
      </c>
      <c r="B5" s="3" t="s">
        <v>10</v>
      </c>
      <c r="C5" s="4">
        <v>45663</v>
      </c>
      <c r="D5" s="4">
        <v>45667</v>
      </c>
      <c r="E5" s="3">
        <f t="shared" ref="E5:E16" si="0">D5-C5+1</f>
        <v>5</v>
      </c>
      <c r="F5" s="5">
        <v>80000</v>
      </c>
      <c r="G5" s="6">
        <f t="shared" ref="G5:G16" si="1">MAX(0,MIN(1,($B$1-C5+1)/E5))</f>
        <v>1</v>
      </c>
      <c r="H5" s="7">
        <v>1</v>
      </c>
      <c r="I5" s="5">
        <f>F5*G5</f>
        <v>80000</v>
      </c>
      <c r="J5" s="5"/>
      <c r="K5" s="5"/>
      <c r="L5" s="11"/>
      <c r="M5" s="11"/>
    </row>
    <row r="6" spans="1:15">
      <c r="A6" s="3" t="s">
        <v>11</v>
      </c>
      <c r="B6" s="3" t="s">
        <v>12</v>
      </c>
      <c r="C6" s="4">
        <v>45663</v>
      </c>
      <c r="D6" s="4">
        <v>45674</v>
      </c>
      <c r="E6" s="3">
        <f t="shared" si="0"/>
        <v>12</v>
      </c>
      <c r="F6" s="5">
        <v>120000</v>
      </c>
      <c r="G6" s="6">
        <f t="shared" si="1"/>
        <v>1</v>
      </c>
      <c r="H6" s="7">
        <v>1</v>
      </c>
      <c r="I6" s="5">
        <f t="shared" ref="I6:I16" si="2">F6*G6</f>
        <v>120000</v>
      </c>
      <c r="J6" s="5"/>
      <c r="K6" s="5"/>
      <c r="L6" s="11"/>
      <c r="M6" s="11"/>
    </row>
    <row r="7" spans="1:15">
      <c r="A7" s="3" t="s">
        <v>13</v>
      </c>
      <c r="B7" s="3" t="s">
        <v>14</v>
      </c>
      <c r="C7" s="4">
        <v>45670</v>
      </c>
      <c r="D7" s="4">
        <v>45688</v>
      </c>
      <c r="E7" s="3">
        <f t="shared" si="0"/>
        <v>19</v>
      </c>
      <c r="F7" s="5">
        <v>250000</v>
      </c>
      <c r="G7" s="6">
        <f t="shared" si="1"/>
        <v>1</v>
      </c>
      <c r="H7" s="7">
        <v>1</v>
      </c>
      <c r="I7" s="5">
        <f t="shared" si="2"/>
        <v>250000</v>
      </c>
      <c r="J7" s="5"/>
      <c r="K7" s="5"/>
      <c r="L7" s="11"/>
      <c r="M7" s="11"/>
    </row>
    <row r="8" spans="1:15">
      <c r="A8" s="3" t="s">
        <v>15</v>
      </c>
      <c r="B8" s="3" t="s">
        <v>16</v>
      </c>
      <c r="C8" s="4">
        <v>45677</v>
      </c>
      <c r="D8" s="4">
        <v>45695</v>
      </c>
      <c r="E8" s="3">
        <f t="shared" si="0"/>
        <v>19</v>
      </c>
      <c r="F8" s="5">
        <v>350000</v>
      </c>
      <c r="G8" s="6">
        <f t="shared" si="1"/>
        <v>1</v>
      </c>
      <c r="H8" s="7">
        <v>0.75</v>
      </c>
      <c r="I8" s="5">
        <f t="shared" si="2"/>
        <v>350000</v>
      </c>
      <c r="J8" s="5"/>
      <c r="K8" s="5"/>
      <c r="L8" s="11"/>
      <c r="M8" s="11"/>
    </row>
    <row r="9" spans="1:15" ht="28.8">
      <c r="A9" s="3" t="s">
        <v>17</v>
      </c>
      <c r="B9" s="3" t="s">
        <v>18</v>
      </c>
      <c r="C9" s="4">
        <v>45684</v>
      </c>
      <c r="D9" s="4">
        <v>45702</v>
      </c>
      <c r="E9" s="3">
        <f t="shared" si="0"/>
        <v>19</v>
      </c>
      <c r="F9" s="5">
        <v>420000</v>
      </c>
      <c r="G9" s="6">
        <f t="shared" si="1"/>
        <v>1</v>
      </c>
      <c r="H9" s="7">
        <v>0.55000000000000004</v>
      </c>
      <c r="I9" s="5">
        <f t="shared" si="2"/>
        <v>420000</v>
      </c>
      <c r="J9" s="5"/>
      <c r="K9" s="5"/>
      <c r="L9" s="11"/>
      <c r="M9" s="11"/>
    </row>
    <row r="10" spans="1:15">
      <c r="A10" s="3" t="s">
        <v>19</v>
      </c>
      <c r="B10" s="3" t="s">
        <v>20</v>
      </c>
      <c r="C10" s="4">
        <v>45691</v>
      </c>
      <c r="D10" s="4">
        <v>45709</v>
      </c>
      <c r="E10" s="3">
        <f t="shared" si="0"/>
        <v>19</v>
      </c>
      <c r="F10" s="5">
        <v>400000</v>
      </c>
      <c r="G10" s="6">
        <f t="shared" si="1"/>
        <v>1</v>
      </c>
      <c r="H10" s="7">
        <v>0.3</v>
      </c>
      <c r="I10" s="5">
        <f t="shared" si="2"/>
        <v>400000</v>
      </c>
      <c r="J10" s="5"/>
      <c r="K10" s="5"/>
      <c r="L10" s="11"/>
      <c r="M10" s="11"/>
    </row>
    <row r="11" spans="1:15" ht="28.8">
      <c r="A11" s="3" t="s">
        <v>21</v>
      </c>
      <c r="B11" s="3" t="s">
        <v>22</v>
      </c>
      <c r="C11" s="4">
        <v>45705</v>
      </c>
      <c r="D11" s="4">
        <v>45716</v>
      </c>
      <c r="E11" s="3">
        <f t="shared" si="0"/>
        <v>12</v>
      </c>
      <c r="F11" s="5">
        <v>220000</v>
      </c>
      <c r="G11" s="6">
        <f t="shared" si="1"/>
        <v>1</v>
      </c>
      <c r="H11" s="7">
        <v>0</v>
      </c>
      <c r="I11" s="5">
        <f t="shared" si="2"/>
        <v>220000</v>
      </c>
      <c r="J11" s="5"/>
      <c r="K11" s="5"/>
      <c r="L11" s="11"/>
      <c r="M11" s="11"/>
    </row>
    <row r="12" spans="1:15">
      <c r="A12" s="3" t="s">
        <v>23</v>
      </c>
      <c r="B12" s="3" t="s">
        <v>24</v>
      </c>
      <c r="C12" s="4">
        <v>45705</v>
      </c>
      <c r="D12" s="4">
        <v>45730</v>
      </c>
      <c r="E12" s="3">
        <f t="shared" si="0"/>
        <v>26</v>
      </c>
      <c r="F12" s="5">
        <v>380000</v>
      </c>
      <c r="G12" s="6">
        <f>MAX(0,MIN(1,($B$1-C12+1)/E12))</f>
        <v>0.46153846153846156</v>
      </c>
      <c r="H12" s="7">
        <v>0</v>
      </c>
      <c r="I12" s="5">
        <f t="shared" si="2"/>
        <v>175384.6153846154</v>
      </c>
      <c r="J12" s="5"/>
      <c r="K12" s="5"/>
      <c r="L12" s="11"/>
      <c r="M12" s="11"/>
    </row>
    <row r="13" spans="1:15" ht="28.8">
      <c r="A13" s="3" t="s">
        <v>25</v>
      </c>
      <c r="B13" s="3" t="s">
        <v>26</v>
      </c>
      <c r="C13" s="4">
        <v>45712</v>
      </c>
      <c r="D13" s="4">
        <v>45737</v>
      </c>
      <c r="E13" s="3">
        <f t="shared" si="0"/>
        <v>26</v>
      </c>
      <c r="F13" s="5">
        <v>500000</v>
      </c>
      <c r="G13" s="6">
        <f t="shared" si="1"/>
        <v>0.19230769230769232</v>
      </c>
      <c r="H13" s="7">
        <v>0</v>
      </c>
      <c r="I13" s="5">
        <f t="shared" si="2"/>
        <v>96153.846153846156</v>
      </c>
      <c r="J13" s="5"/>
      <c r="K13" s="5"/>
      <c r="L13" s="11"/>
      <c r="M13" s="11"/>
    </row>
    <row r="14" spans="1:15">
      <c r="A14" s="3" t="s">
        <v>27</v>
      </c>
      <c r="B14" s="3" t="s">
        <v>28</v>
      </c>
      <c r="C14" s="4">
        <v>45719</v>
      </c>
      <c r="D14" s="4">
        <v>45744</v>
      </c>
      <c r="E14" s="3">
        <f t="shared" si="0"/>
        <v>26</v>
      </c>
      <c r="F14" s="5">
        <v>300000</v>
      </c>
      <c r="G14" s="6">
        <f t="shared" si="1"/>
        <v>0</v>
      </c>
      <c r="H14" s="7">
        <v>0</v>
      </c>
      <c r="I14" s="5">
        <f t="shared" si="2"/>
        <v>0</v>
      </c>
      <c r="J14" s="5"/>
      <c r="K14" s="5"/>
      <c r="L14" s="11"/>
      <c r="M14" s="11"/>
    </row>
    <row r="15" spans="1:15">
      <c r="A15" s="3" t="s">
        <v>29</v>
      </c>
      <c r="B15" s="3" t="s">
        <v>30</v>
      </c>
      <c r="C15" s="4">
        <v>45726</v>
      </c>
      <c r="D15" s="4">
        <v>45751</v>
      </c>
      <c r="E15" s="3">
        <f t="shared" si="0"/>
        <v>26</v>
      </c>
      <c r="F15" s="5">
        <v>120000</v>
      </c>
      <c r="G15" s="6">
        <f t="shared" si="1"/>
        <v>0</v>
      </c>
      <c r="H15" s="7">
        <v>0</v>
      </c>
      <c r="I15" s="5">
        <f t="shared" si="2"/>
        <v>0</v>
      </c>
      <c r="J15" s="5"/>
      <c r="K15" s="5"/>
      <c r="L15" s="11"/>
      <c r="M15" s="11"/>
    </row>
    <row r="16" spans="1:15">
      <c r="A16" s="3" t="s">
        <v>31</v>
      </c>
      <c r="B16" s="3" t="s">
        <v>32</v>
      </c>
      <c r="C16" s="4">
        <v>45726</v>
      </c>
      <c r="D16" s="4">
        <v>45751</v>
      </c>
      <c r="E16" s="3">
        <f t="shared" si="0"/>
        <v>26</v>
      </c>
      <c r="F16" s="5">
        <v>100000</v>
      </c>
      <c r="G16" s="6">
        <f t="shared" si="1"/>
        <v>0</v>
      </c>
      <c r="H16" s="7">
        <v>0</v>
      </c>
      <c r="I16" s="5">
        <f t="shared" si="2"/>
        <v>0</v>
      </c>
      <c r="J16" s="5"/>
      <c r="K16" s="5"/>
      <c r="L16" s="11"/>
      <c r="M16" s="11"/>
    </row>
    <row r="17" spans="1:15">
      <c r="A17" s="3"/>
      <c r="B17" s="3"/>
      <c r="C17" s="3"/>
      <c r="D17" s="3"/>
      <c r="E17" s="3"/>
      <c r="F17" s="5"/>
      <c r="G17" s="3"/>
      <c r="H17" s="3"/>
      <c r="I17" s="5"/>
      <c r="J17" s="5"/>
      <c r="K17" s="5"/>
      <c r="L17" s="5"/>
      <c r="M17" s="5"/>
      <c r="N17" s="11"/>
      <c r="O17" s="11"/>
    </row>
    <row r="18" spans="1:15">
      <c r="A18" s="16" t="s">
        <v>33</v>
      </c>
      <c r="B18" s="16"/>
      <c r="C18" s="8"/>
      <c r="D18" s="8"/>
      <c r="E18" s="8"/>
      <c r="F18" s="9">
        <f>SUM(F5:F16)</f>
        <v>3240000</v>
      </c>
      <c r="G18" s="8"/>
      <c r="H18" s="8"/>
      <c r="I18" s="9">
        <f>SUM(I5:I16)</f>
        <v>2111538.4615384615</v>
      </c>
      <c r="J18" s="9"/>
      <c r="K18" s="9"/>
      <c r="L18" s="12"/>
      <c r="M18" s="12"/>
      <c r="N18" s="13"/>
      <c r="O18" s="13"/>
    </row>
  </sheetData>
  <mergeCells count="2">
    <mergeCell ref="D1:O1"/>
    <mergeCell ref="A18:B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Singh</dc:creator>
  <cp:lastModifiedBy>Prashant Kumar</cp:lastModifiedBy>
  <dcterms:created xsi:type="dcterms:W3CDTF">2026-10-24T11:10:58Z</dcterms:created>
  <dcterms:modified xsi:type="dcterms:W3CDTF">2026-10-27T13:29:41Z</dcterms:modified>
</cp:coreProperties>
</file>