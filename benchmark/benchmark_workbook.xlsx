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Synthetic illustrative budget chosen for the benchmark (team assumption).</t>
        </r>
      </text>
    </comment>
  </commentList>
</comments>
</file>

<file path=xl/sharedStrings.xml><?xml version="1.0" encoding="utf-8"?>
<sst xmlns="http://schemas.openxmlformats.org/spreadsheetml/2006/main" count="79" uniqueCount="78">
  <si>
    <t xml:space="preserve">CE 725 EVM Dashboard — Manual benchmark (plain spreadsheet, no macros, no app code)</t>
  </si>
  <si>
    <t xml:space="preserve">Illustrative G+4 RCC residential block. SYNTHETIC data for validation only. Blue cells on yellow = inputs; black = formulas. Money in INR. Percentages are cumulative.</t>
  </si>
  <si>
    <t xml:space="preserve">1. Inputs (approved budget, cumulative progress, cumulative actual cost)</t>
  </si>
  <si>
    <t xml:space="preserve">Work package</t>
  </si>
  <si>
    <t xml:space="preserve">Budget (INR)</t>
  </si>
  <si>
    <t xml:space="preserve">P1 planned %</t>
  </si>
  <si>
    <t xml:space="preserve">P1 actual %</t>
  </si>
  <si>
    <t xml:space="preserve">P1 cum. AC (INR)</t>
  </si>
  <si>
    <t xml:space="preserve">P2 planned %</t>
  </si>
  <si>
    <t xml:space="preserve">P2 actual %</t>
  </si>
  <si>
    <t xml:space="preserve">P2 cum. AC (INR)</t>
  </si>
  <si>
    <t xml:space="preserve">WP1 Substructure</t>
  </si>
  <si>
    <t xml:space="preserve">WP2 RCC superstructure</t>
  </si>
  <si>
    <t xml:space="preserve">WP3 Masonry and finishes</t>
  </si>
  <si>
    <t xml:space="preserve">WP4 MEP services</t>
  </si>
  <si>
    <t xml:space="preserve">BAC = total budget</t>
  </si>
  <si>
    <t xml:space="preserve">Reporting dates: P1 = 31-Jan-2026, P2 = 28-Feb-2026</t>
  </si>
  <si>
    <t xml:space="preserve">2. Budget-weighted PV and EV per work package (PV_i = Budget_i x planned %, EV_i = Budget_i x actual %)</t>
  </si>
  <si>
    <t xml:space="preserve">P1 PV_i</t>
  </si>
  <si>
    <t xml:space="preserve">P1 EV_i</t>
  </si>
  <si>
    <t xml:space="preserve">P2 PV_i</t>
  </si>
  <si>
    <t xml:space="preserve">P2 EV_i</t>
  </si>
  <si>
    <t xml:space="preserve">Total</t>
  </si>
  <si>
    <t xml:space="preserve">3. EVM results (cumulative to each reporting date)</t>
  </si>
  <si>
    <t xml:space="preserve">Metric</t>
  </si>
  <si>
    <t xml:space="preserve">Formula</t>
  </si>
  <si>
    <t xml:space="preserve">Period 1</t>
  </si>
  <si>
    <t xml:space="preserve">Period 2</t>
  </si>
  <si>
    <t xml:space="preserve">BAC</t>
  </si>
  <si>
    <t xml:space="preserve">Sum of budgets</t>
  </si>
  <si>
    <t xml:space="preserve">PV</t>
  </si>
  <si>
    <t xml:space="preserve">Sum of PV_i</t>
  </si>
  <si>
    <t xml:space="preserve">EV</t>
  </si>
  <si>
    <t xml:space="preserve">Sum of EV_i</t>
  </si>
  <si>
    <t xml:space="preserve">AC</t>
  </si>
  <si>
    <t xml:space="preserve">Sum of cumulative AC_i</t>
  </si>
  <si>
    <t xml:space="preserve">CV</t>
  </si>
  <si>
    <t xml:space="preserve">EV - AC</t>
  </si>
  <si>
    <t xml:space="preserve">SV</t>
  </si>
  <si>
    <t xml:space="preserve">EV - PV</t>
  </si>
  <si>
    <t xml:space="preserve">CPI</t>
  </si>
  <si>
    <t xml:space="preserve">EV / AC</t>
  </si>
  <si>
    <t xml:space="preserve">SPI</t>
  </si>
  <si>
    <t xml:space="preserve">EV / PV</t>
  </si>
  <si>
    <t xml:space="preserve">EAC (A) BAC/CPI</t>
  </si>
  <si>
    <t xml:space="preserve">BAC / CPI</t>
  </si>
  <si>
    <t xml:space="preserve">EAC (B) CPI x SPI</t>
  </si>
  <si>
    <t xml:space="preserve">AC + (BAC-EV)/(CPI x SPI)</t>
  </si>
  <si>
    <t xml:space="preserve">EAC (C) budget rate</t>
  </si>
  <si>
    <t xml:space="preserve">AC + (BAC - EV)</t>
  </si>
  <si>
    <t xml:space="preserve">ETC (A)</t>
  </si>
  <si>
    <t xml:space="preserve">EAC(A) - AC</t>
  </si>
  <si>
    <t xml:space="preserve">ETC (B)</t>
  </si>
  <si>
    <t xml:space="preserve">EAC(B) - AC</t>
  </si>
  <si>
    <t xml:space="preserve">ETC (C)</t>
  </si>
  <si>
    <t xml:space="preserve">EAC(C) - AC</t>
  </si>
  <si>
    <t xml:space="preserve">VAC (A)</t>
  </si>
  <si>
    <t xml:space="preserve">BAC - EAC(A)</t>
  </si>
  <si>
    <t xml:space="preserve">VAC (B)</t>
  </si>
  <si>
    <t xml:space="preserve">BAC - EAC(B)</t>
  </si>
  <si>
    <t xml:space="preserve">VAC (C)</t>
  </si>
  <si>
    <t xml:space="preserve">BAC - EAC(C)</t>
  </si>
  <si>
    <t xml:space="preserve">Overrun % (A)</t>
  </si>
  <si>
    <t xml:space="preserve">(EAC(A) - BAC)/BAC x 100</t>
  </si>
  <si>
    <t xml:space="preserve">Overrun % (B)</t>
  </si>
  <si>
    <t xml:space="preserve">(EAC(B) - BAC)/BAC x 100</t>
  </si>
  <si>
    <t xml:space="preserve">Overrun % (C)</t>
  </si>
  <si>
    <t xml:space="preserve">(EAC(C) - BAC)/BAC x 100</t>
  </si>
  <si>
    <t xml:space="preserve">TCPI to BAC</t>
  </si>
  <si>
    <t xml:space="preserve">(BAC - EV)/(BAC - AC)</t>
  </si>
  <si>
    <t xml:space="preserve">TCPI to EAC (A)</t>
  </si>
  <si>
    <t xml:space="preserve">(BAC - EV)/(EAC(A) - AC)</t>
  </si>
  <si>
    <t xml:space="preserve">TCPI to EAC (B)</t>
  </si>
  <si>
    <t xml:space="preserve">(BAC - EV)/(EAC(B) - AC)</t>
  </si>
  <si>
    <t xml:space="preserve">TCPI to EAC (C)</t>
  </si>
  <si>
    <t xml:space="preserve">(BAC - EV)/(EAC(C) - AC)</t>
  </si>
  <si>
    <t xml:space="preserve">Prepared as the course's 'plain spreadsheet' benchmark. It does not call or import the dashboard code. The Validation Engineer should independently re-work Period 1 and Period 2 on paper and initial below.</t>
  </si>
  <si>
    <t xml:space="preserve">Checked by (name / date / signature):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</si>
</sst>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%;\(0%\);&quot;0%&quot;"/>
    <numFmt numFmtId="167" formatCode="0.0000"/>
    <numFmt numFmtId="168" formatCode="#,##0.00;\(#,##0.00\);\-"/>
    <numFmt numFmtId="169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8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v>8000000</v>
      </c>
      <c r="C6" s="7" t="n">
        <v>1</v>
      </c>
      <c r="D6" s="7" t="n">
        <v>1</v>
      </c>
      <c r="E6" s="6" t="n">
        <v>8400000</v>
      </c>
      <c r="F6" s="7" t="n">
        <v>1</v>
      </c>
      <c r="G6" s="7" t="n">
        <v>1</v>
      </c>
      <c r="H6" s="6" t="n">
        <v>8400000</v>
      </c>
    </row>
    <row r="7" customFormat="false" ht="15" hidden="false" customHeight="false" outlineLevel="0" collapsed="false">
      <c r="A7" s="5" t="s">
        <v>12</v>
      </c>
      <c r="B7" s="6" t="n">
        <v>16000000</v>
      </c>
      <c r="C7" s="7" t="n">
        <v>0.4</v>
      </c>
      <c r="D7" s="7" t="n">
        <v>0.3</v>
      </c>
      <c r="E7" s="6" t="n">
        <v>5200000</v>
      </c>
      <c r="F7" s="7" t="n">
        <v>0.7</v>
      </c>
      <c r="G7" s="7" t="n">
        <v>0.55</v>
      </c>
      <c r="H7" s="6" t="n">
        <v>9800000</v>
      </c>
    </row>
    <row r="8" customFormat="false" ht="15" hidden="false" customHeight="false" outlineLevel="0" collapsed="false">
      <c r="A8" s="5" t="s">
        <v>13</v>
      </c>
      <c r="B8" s="6" t="n">
        <v>12000000</v>
      </c>
      <c r="C8" s="7" t="n">
        <v>0</v>
      </c>
      <c r="D8" s="7" t="n">
        <v>0</v>
      </c>
      <c r="E8" s="6" t="n">
        <v>0</v>
      </c>
      <c r="F8" s="7" t="n">
        <v>0.1</v>
      </c>
      <c r="G8" s="7" t="n">
        <v>0.05</v>
      </c>
      <c r="H8" s="6" t="n">
        <v>700000</v>
      </c>
    </row>
    <row r="9" customFormat="false" ht="15" hidden="false" customHeight="false" outlineLevel="0" collapsed="false">
      <c r="A9" s="5" t="s">
        <v>14</v>
      </c>
      <c r="B9" s="6" t="n">
        <v>4000000</v>
      </c>
      <c r="C9" s="7" t="n">
        <v>0.05</v>
      </c>
      <c r="D9" s="7" t="n">
        <v>0</v>
      </c>
      <c r="E9" s="6" t="n">
        <v>100000</v>
      </c>
      <c r="F9" s="7" t="n">
        <v>0.1</v>
      </c>
      <c r="G9" s="7" t="n">
        <v>0.05</v>
      </c>
      <c r="H9" s="6" t="n">
        <v>300000</v>
      </c>
    </row>
    <row r="10" customFormat="false" ht="15" hidden="false" customHeight="false" outlineLevel="0" collapsed="false">
      <c r="A10" s="3" t="s">
        <v>15</v>
      </c>
      <c r="B10" s="8" t="n">
        <f aca="false">SUM(B6:B9)</f>
        <v>40000000</v>
      </c>
    </row>
    <row r="11" customFormat="false" ht="15" hidden="false" customHeight="false" outlineLevel="0" collapsed="false">
      <c r="A11" s="2" t="s">
        <v>16</v>
      </c>
    </row>
    <row r="13" customFormat="false" ht="15" hidden="false" customHeight="false" outlineLevel="0" collapsed="false">
      <c r="A13" s="3" t="s">
        <v>17</v>
      </c>
    </row>
    <row r="14" customFormat="false" ht="15" hidden="false" customHeight="false" outlineLevel="0" collapsed="false">
      <c r="A14" s="9" t="s">
        <v>3</v>
      </c>
      <c r="B14" s="9" t="s">
        <v>18</v>
      </c>
      <c r="C14" s="9" t="s">
        <v>19</v>
      </c>
      <c r="D14" s="9" t="s">
        <v>20</v>
      </c>
      <c r="E14" s="9" t="s">
        <v>21</v>
      </c>
    </row>
    <row r="15" customFormat="false" ht="15" hidden="false" customHeight="false" outlineLevel="0" collapsed="false">
      <c r="A15" s="5" t="str">
        <f aca="false">A6</f>
        <v>WP1 Substructure</v>
      </c>
      <c r="B15" s="10" t="n">
        <f aca="false">B6*C6</f>
        <v>8000000</v>
      </c>
      <c r="C15" s="10" t="n">
        <f aca="false">B6*D6</f>
        <v>8000000</v>
      </c>
      <c r="D15" s="10" t="n">
        <f aca="false">B6*F6</f>
        <v>8000000</v>
      </c>
      <c r="E15" s="10" t="n">
        <f aca="false">B6*G6</f>
        <v>8000000</v>
      </c>
    </row>
    <row r="16" customFormat="false" ht="15" hidden="false" customHeight="false" outlineLevel="0" collapsed="false">
      <c r="A16" s="5" t="str">
        <f aca="false">A7</f>
        <v>WP2 RCC superstructure</v>
      </c>
      <c r="B16" s="10" t="n">
        <f aca="false">B7*C7</f>
        <v>6400000</v>
      </c>
      <c r="C16" s="10" t="n">
        <f aca="false">B7*D7</f>
        <v>4800000</v>
      </c>
      <c r="D16" s="10" t="n">
        <f aca="false">B7*F7</f>
        <v>11200000</v>
      </c>
      <c r="E16" s="10" t="n">
        <f aca="false">B7*G7</f>
        <v>8800000</v>
      </c>
    </row>
    <row r="17" customFormat="false" ht="15" hidden="false" customHeight="false" outlineLevel="0" collapsed="false">
      <c r="A17" s="5" t="str">
        <f aca="false">A8</f>
        <v>WP3 Masonry and finishes</v>
      </c>
      <c r="B17" s="10" t="n">
        <f aca="false">B8*C8</f>
        <v>0</v>
      </c>
      <c r="C17" s="10" t="n">
        <f aca="false">B8*D8</f>
        <v>0</v>
      </c>
      <c r="D17" s="10" t="n">
        <f aca="false">B8*F8</f>
        <v>1200000</v>
      </c>
      <c r="E17" s="10" t="n">
        <f aca="false">B8*G8</f>
        <v>600000</v>
      </c>
    </row>
    <row r="18" customFormat="false" ht="15" hidden="false" customHeight="false" outlineLevel="0" collapsed="false">
      <c r="A18" s="5" t="str">
        <f aca="false">A9</f>
        <v>WP4 MEP services</v>
      </c>
      <c r="B18" s="10" t="n">
        <f aca="false">B9*C9</f>
        <v>200000</v>
      </c>
      <c r="C18" s="10" t="n">
        <f aca="false">B9*D9</f>
        <v>0</v>
      </c>
      <c r="D18" s="10" t="n">
        <f aca="false">B9*F9</f>
        <v>400000</v>
      </c>
      <c r="E18" s="10" t="n">
        <f aca="false">B9*G9</f>
        <v>200000</v>
      </c>
    </row>
    <row r="19" customFormat="false" ht="15" hidden="false" customHeight="false" outlineLevel="0" collapsed="false">
      <c r="A19" s="3" t="s">
        <v>22</v>
      </c>
      <c r="B19" s="8" t="n">
        <f aca="false">SUM(B15:B18)</f>
        <v>14600000</v>
      </c>
      <c r="C19" s="8" t="n">
        <f aca="false">SUM(C15:C18)</f>
        <v>12800000</v>
      </c>
      <c r="D19" s="8" t="n">
        <f aca="false">SUM(D15:D18)</f>
        <v>20800000</v>
      </c>
      <c r="E19" s="8" t="n">
        <f aca="false">SUM(E15:E18)</f>
        <v>17600000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9" t="s">
        <v>24</v>
      </c>
      <c r="B22" s="9" t="s">
        <v>25</v>
      </c>
      <c r="C22" s="9" t="s">
        <v>26</v>
      </c>
      <c r="D22" s="9" t="s">
        <v>27</v>
      </c>
    </row>
    <row r="23" customFormat="false" ht="15" hidden="false" customHeight="false" outlineLevel="0" collapsed="false">
      <c r="A23" s="5" t="s">
        <v>28</v>
      </c>
      <c r="B23" s="11" t="s">
        <v>29</v>
      </c>
      <c r="C23" s="10" t="n">
        <f aca="false">$B$10</f>
        <v>40000000</v>
      </c>
      <c r="D23" s="10" t="n">
        <f aca="false">$B$10</f>
        <v>40000000</v>
      </c>
    </row>
    <row r="24" customFormat="false" ht="15" hidden="false" customHeight="false" outlineLevel="0" collapsed="false">
      <c r="A24" s="5" t="s">
        <v>30</v>
      </c>
      <c r="B24" s="11" t="s">
        <v>31</v>
      </c>
      <c r="C24" s="10" t="n">
        <f aca="false">B19</f>
        <v>14600000</v>
      </c>
      <c r="D24" s="10" t="n">
        <f aca="false">D19</f>
        <v>20800000</v>
      </c>
    </row>
    <row r="25" customFormat="false" ht="15" hidden="false" customHeight="false" outlineLevel="0" collapsed="false">
      <c r="A25" s="5" t="s">
        <v>32</v>
      </c>
      <c r="B25" s="11" t="s">
        <v>33</v>
      </c>
      <c r="C25" s="10" t="n">
        <f aca="false">C19</f>
        <v>12800000</v>
      </c>
      <c r="D25" s="10" t="n">
        <f aca="false">E19</f>
        <v>17600000</v>
      </c>
    </row>
    <row r="26" customFormat="false" ht="15" hidden="false" customHeight="false" outlineLevel="0" collapsed="false">
      <c r="A26" s="5" t="s">
        <v>34</v>
      </c>
      <c r="B26" s="11" t="s">
        <v>35</v>
      </c>
      <c r="C26" s="10" t="n">
        <f aca="false">SUM(E6:E9)</f>
        <v>13700000</v>
      </c>
      <c r="D26" s="10" t="n">
        <f aca="false">SUM(H6:H9)</f>
        <v>19200000</v>
      </c>
    </row>
    <row r="27" customFormat="false" ht="15" hidden="false" customHeight="false" outlineLevel="0" collapsed="false">
      <c r="A27" s="5" t="s">
        <v>36</v>
      </c>
      <c r="B27" s="11" t="s">
        <v>37</v>
      </c>
      <c r="C27" s="10" t="n">
        <f aca="false">C25-C26</f>
        <v>-900000</v>
      </c>
      <c r="D27" s="10" t="n">
        <f aca="false">D25-D26</f>
        <v>-1600000</v>
      </c>
    </row>
    <row r="28" customFormat="false" ht="15" hidden="false" customHeight="false" outlineLevel="0" collapsed="false">
      <c r="A28" s="5" t="s">
        <v>38</v>
      </c>
      <c r="B28" s="11" t="s">
        <v>39</v>
      </c>
      <c r="C28" s="10" t="n">
        <f aca="false">C25-C24</f>
        <v>-1800000</v>
      </c>
      <c r="D28" s="10" t="n">
        <f aca="false">D25-D24</f>
        <v>-3200000</v>
      </c>
    </row>
    <row r="29" customFormat="false" ht="15" hidden="false" customHeight="false" outlineLevel="0" collapsed="false">
      <c r="A29" s="5" t="s">
        <v>40</v>
      </c>
      <c r="B29" s="11" t="s">
        <v>41</v>
      </c>
      <c r="C29" s="12" t="n">
        <f aca="false">IF(C26=0,"Undefined",C25/C26)</f>
        <v>0.934306569343066</v>
      </c>
      <c r="D29" s="12" t="n">
        <f aca="false">IF(D26=0,"Undefined",D25/D26)</f>
        <v>0.916666666666667</v>
      </c>
    </row>
    <row r="30" customFormat="false" ht="15" hidden="false" customHeight="false" outlineLevel="0" collapsed="false">
      <c r="A30" s="5" t="s">
        <v>42</v>
      </c>
      <c r="B30" s="11" t="s">
        <v>43</v>
      </c>
      <c r="C30" s="12" t="n">
        <f aca="false">IF(C24=0,"Undefined",C25/C24)</f>
        <v>0.876712328767123</v>
      </c>
      <c r="D30" s="12" t="n">
        <f aca="false">IF(D24=0,"Undefined",D25/D24)</f>
        <v>0.846153846153846</v>
      </c>
    </row>
    <row r="31" customFormat="false" ht="15" hidden="false" customHeight="false" outlineLevel="0" collapsed="false">
      <c r="A31" s="5" t="s">
        <v>44</v>
      </c>
      <c r="B31" s="11" t="s">
        <v>45</v>
      </c>
      <c r="C31" s="13" t="n">
        <f aca="false">IF(ISNUMBER(C29),IF(C29&gt;0,C23/C29,"Undefined"),"Undefined")</f>
        <v>42812500</v>
      </c>
      <c r="D31" s="13" t="n">
        <f aca="false">IF(ISNUMBER(D29),IF(D29&gt;0,D23/D29,"Undefined"),"Undefined")</f>
        <v>43636363.6363636</v>
      </c>
    </row>
    <row r="32" customFormat="false" ht="15" hidden="false" customHeight="false" outlineLevel="0" collapsed="false">
      <c r="A32" s="5" t="s">
        <v>46</v>
      </c>
      <c r="B32" s="11" t="s">
        <v>47</v>
      </c>
      <c r="C32" s="13" t="n">
        <f aca="false">IF(AND(ISNUMBER(C29),ISNUMBER(C30)),IF(C29*C30&gt;0,C26+(C23-C25)/(C29*C30),"Undefined"),"Undefined")</f>
        <v>46906445.3125</v>
      </c>
      <c r="D32" s="13" t="n">
        <f aca="false">IF(AND(ISNUMBER(D29),ISNUMBER(D30)),IF(D29*D30&gt;0,D26+(D23-D25)/(D29*D30),"Undefined"),"Undefined")</f>
        <v>48079338.8429752</v>
      </c>
    </row>
    <row r="33" customFormat="false" ht="15" hidden="false" customHeight="false" outlineLevel="0" collapsed="false">
      <c r="A33" s="5" t="s">
        <v>48</v>
      </c>
      <c r="B33" s="11" t="s">
        <v>49</v>
      </c>
      <c r="C33" s="13" t="n">
        <f aca="false">C26+(C23-C25)</f>
        <v>40900000</v>
      </c>
      <c r="D33" s="13" t="n">
        <f aca="false">D26+(D23-D25)</f>
        <v>41600000</v>
      </c>
    </row>
    <row r="34" customFormat="false" ht="15" hidden="false" customHeight="false" outlineLevel="0" collapsed="false">
      <c r="A34" s="5" t="s">
        <v>50</v>
      </c>
      <c r="B34" s="11" t="s">
        <v>51</v>
      </c>
      <c r="C34" s="13" t="n">
        <f aca="false">IF(ISNUMBER(C31),C31-C26,"Undefined")</f>
        <v>29112500</v>
      </c>
      <c r="D34" s="13" t="n">
        <f aca="false">IF(ISNUMBER(D31),D31-D26,"Undefined")</f>
        <v>24436363.6363636</v>
      </c>
    </row>
    <row r="35" customFormat="false" ht="15" hidden="false" customHeight="false" outlineLevel="0" collapsed="false">
      <c r="A35" s="5" t="s">
        <v>52</v>
      </c>
      <c r="B35" s="11" t="s">
        <v>53</v>
      </c>
      <c r="C35" s="13" t="n">
        <f aca="false">IF(ISNUMBER(C32),C32-C26,"Undefined")</f>
        <v>33206445.3125</v>
      </c>
      <c r="D35" s="13" t="n">
        <f aca="false">IF(ISNUMBER(D32),D32-D26,"Undefined")</f>
        <v>28879338.8429752</v>
      </c>
    </row>
    <row r="36" customFormat="false" ht="15" hidden="false" customHeight="false" outlineLevel="0" collapsed="false">
      <c r="A36" s="5" t="s">
        <v>54</v>
      </c>
      <c r="B36" s="11" t="s">
        <v>55</v>
      </c>
      <c r="C36" s="13" t="n">
        <f aca="false">C33-C26</f>
        <v>27200000</v>
      </c>
      <c r="D36" s="13" t="n">
        <f aca="false">D33-D26</f>
        <v>22400000</v>
      </c>
    </row>
    <row r="37" customFormat="false" ht="15" hidden="false" customHeight="false" outlineLevel="0" collapsed="false">
      <c r="A37" s="5" t="s">
        <v>56</v>
      </c>
      <c r="B37" s="11" t="s">
        <v>57</v>
      </c>
      <c r="C37" s="13" t="n">
        <f aca="false">IF(ISNUMBER(C31),C23-C31,"Undefined")</f>
        <v>-2812500</v>
      </c>
      <c r="D37" s="13" t="n">
        <f aca="false">IF(ISNUMBER(D31),D23-D31,"Undefined")</f>
        <v>-3636363.63636364</v>
      </c>
    </row>
    <row r="38" customFormat="false" ht="15" hidden="false" customHeight="false" outlineLevel="0" collapsed="false">
      <c r="A38" s="5" t="s">
        <v>58</v>
      </c>
      <c r="B38" s="11" t="s">
        <v>59</v>
      </c>
      <c r="C38" s="13" t="n">
        <f aca="false">IF(ISNUMBER(C32),C23-C32,"Undefined")</f>
        <v>-6906445.3125</v>
      </c>
      <c r="D38" s="13" t="n">
        <f aca="false">IF(ISNUMBER(D32),D23-D32,"Undefined")</f>
        <v>-8079338.84297521</v>
      </c>
    </row>
    <row r="39" customFormat="false" ht="15" hidden="false" customHeight="false" outlineLevel="0" collapsed="false">
      <c r="A39" s="5" t="s">
        <v>60</v>
      </c>
      <c r="B39" s="11" t="s">
        <v>61</v>
      </c>
      <c r="C39" s="13" t="n">
        <f aca="false">C23-C33</f>
        <v>-900000</v>
      </c>
      <c r="D39" s="13" t="n">
        <f aca="false">D23-D33</f>
        <v>-1600000</v>
      </c>
    </row>
    <row r="40" customFormat="false" ht="15" hidden="false" customHeight="false" outlineLevel="0" collapsed="false">
      <c r="A40" s="5" t="s">
        <v>62</v>
      </c>
      <c r="B40" s="11" t="s">
        <v>63</v>
      </c>
      <c r="C40" s="14" t="n">
        <f aca="false">IF(ISNUMBER(C31),(C31-C23)/C23*100,"Undefined")</f>
        <v>7.03125</v>
      </c>
      <c r="D40" s="14" t="n">
        <f aca="false">IF(ISNUMBER(D31),(D31-D23)/D23*100,"Undefined")</f>
        <v>9.0909090909091</v>
      </c>
    </row>
    <row r="41" customFormat="false" ht="15" hidden="false" customHeight="false" outlineLevel="0" collapsed="false">
      <c r="A41" s="5" t="s">
        <v>64</v>
      </c>
      <c r="B41" s="11" t="s">
        <v>65</v>
      </c>
      <c r="C41" s="14" t="n">
        <f aca="false">IF(ISNUMBER(C32),(C32-C23)/C23*100,"Undefined")</f>
        <v>17.26611328125</v>
      </c>
      <c r="D41" s="14" t="n">
        <f aca="false">IF(ISNUMBER(D32),(D32-D23)/D23*100,"Undefined")</f>
        <v>20.198347107438</v>
      </c>
    </row>
    <row r="42" customFormat="false" ht="15" hidden="false" customHeight="false" outlineLevel="0" collapsed="false">
      <c r="A42" s="5" t="s">
        <v>66</v>
      </c>
      <c r="B42" s="11" t="s">
        <v>67</v>
      </c>
      <c r="C42" s="14" t="n">
        <f aca="false">(C33-C23)/C23*100</f>
        <v>2.25</v>
      </c>
      <c r="D42" s="14" t="n">
        <f aca="false">(D33-D23)/D23*100</f>
        <v>4</v>
      </c>
    </row>
    <row r="43" customFormat="false" ht="15" hidden="false" customHeight="false" outlineLevel="0" collapsed="false">
      <c r="A43" s="5" t="s">
        <v>68</v>
      </c>
      <c r="B43" s="11" t="s">
        <v>69</v>
      </c>
      <c r="C43" s="12" t="n">
        <f aca="false">IF(C23-C26&gt;0,(C23-C25)/(C23-C26),"Infeasible/undefined")</f>
        <v>1.03422053231939</v>
      </c>
      <c r="D43" s="12" t="n">
        <f aca="false">IF(D23-D26&gt;0,(D23-D25)/(D23-D26),"Infeasible/undefined")</f>
        <v>1.07692307692308</v>
      </c>
    </row>
    <row r="44" customFormat="false" ht="15" hidden="false" customHeight="false" outlineLevel="0" collapsed="false">
      <c r="A44" s="5" t="s">
        <v>70</v>
      </c>
      <c r="B44" s="11" t="s">
        <v>71</v>
      </c>
      <c r="C44" s="12" t="n">
        <f aca="false">IF(ISNUMBER(C34),IF(C34&gt;0,(C23-C25)/C34,"Undefined"),"Undefined")</f>
        <v>0.934306569343066</v>
      </c>
      <c r="D44" s="12" t="n">
        <f aca="false">IF(ISNUMBER(D34),IF(D34&gt;0,(D23-D25)/D34,"Undefined"),"Undefined")</f>
        <v>0.916666666666667</v>
      </c>
    </row>
    <row r="45" customFormat="false" ht="15" hidden="false" customHeight="false" outlineLevel="0" collapsed="false">
      <c r="A45" s="5" t="s">
        <v>72</v>
      </c>
      <c r="B45" s="11" t="s">
        <v>73</v>
      </c>
      <c r="C45" s="12" t="n">
        <f aca="false">IF(ISNUMBER(C35),IF(C35&gt;0,(C23-C25)/C35,"Undefined"),"Undefined")</f>
        <v>0.819118088191181</v>
      </c>
      <c r="D45" s="12" t="n">
        <f aca="false">IF(ISNUMBER(D35),IF(D35&gt;0,(D23-D25)/D35,"Undefined"),"Undefined")</f>
        <v>0.775641025641025</v>
      </c>
    </row>
    <row r="46" customFormat="false" ht="15" hidden="false" customHeight="false" outlineLevel="0" collapsed="false">
      <c r="A46" s="5" t="s">
        <v>74</v>
      </c>
      <c r="B46" s="11" t="s">
        <v>75</v>
      </c>
      <c r="C46" s="12" t="n">
        <f aca="false">IF(C36&gt;0,(C23-C25)/C36,"Undefined")</f>
        <v>1</v>
      </c>
      <c r="D46" s="12" t="n">
        <f aca="false">IF(D36&gt;0,(D23-D25)/D36,"Undefined")</f>
        <v>1</v>
      </c>
    </row>
    <row r="48" customFormat="false" ht="15" hidden="false" customHeight="false" outlineLevel="0" collapsed="false">
      <c r="A48" s="2" t="s">
        <v>76</v>
      </c>
    </row>
    <row r="49" customFormat="false" ht="15" hidden="false" customHeight="false" outlineLevel="0" collapsed="false">
      <c r="A49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2026-10-21T13:23:34Z</dcterms:created>
  <dc:creator>openpyxl</dc:creator>
  <dc:description/>
  <dc:language>en-US</dc:language>
  <cp:lastModifiedBy/>
  <dcterms:modified xsi:type="dcterms:W3CDTF">2026-10-21T13:23:34Z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